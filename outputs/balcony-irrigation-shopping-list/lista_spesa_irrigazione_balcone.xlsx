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b27bbd073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spesa" sheetId="1" r:id="R662798fdb8e74fba"/>
    <x:sheet xmlns:r="http://schemas.openxmlformats.org/officeDocument/2006/relationships" name="Riepilogo" sheetId="2" r:id="R1b246cacf47f420e"/>
    <x:sheet xmlns:r="http://schemas.openxmlformats.org/officeDocument/2006/relationships" name="Schema tecnico" sheetId="3" r:id="R6892b754877241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 #,##0.00"/>
    <x:numFmt numFmtId="201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4E46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1"/>
      <x:color rgb="FF1F4E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46"/>
      </x:patternFill>
    </x:fill>
    <x:fill>
      <x:patternFill patternType="solid">
        <x:fgColor rgb="FFE8F3EF"/>
      </x:patternFill>
    </x:fill>
    <x:fill>
      <x:patternFill patternType="solid">
        <x:fgColor rgb="FF2D6A5F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6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9C2F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c939254834ca1" /><Relationship Type="http://schemas.openxmlformats.org/officeDocument/2006/relationships/theme" Target="/xl/theme/theme1.xml" Id="R7897de6d72f64dec" /><Relationship Type="http://schemas.openxmlformats.org/officeDocument/2006/relationships/sharedStrings" Target="/xl/sharedStrings.xml" Id="R6ab9cc5040a84492" /><Relationship Type="http://schemas.openxmlformats.org/officeDocument/2006/relationships/worksheet" Target="/xl/worksheets/sheet1.xml" Id="R662798fdb8e74fba" /><Relationship Type="http://schemas.openxmlformats.org/officeDocument/2006/relationships/worksheet" Target="/xl/worksheets/sheet2.xml" Id="R1b246cacf47f420e" /><Relationship Type="http://schemas.openxmlformats.org/officeDocument/2006/relationships/worksheet" Target="/xl/worksheets/sheet3.xml" Id="R6892b754877241b5" /></Relationships>
</file>

<file path=xl/tables/table1.xml><?xml version="1.0" encoding="utf-8"?>
<x:table xmlns:x="http://schemas.openxmlformats.org/spreadsheetml/2006/main" id="1" name="ShoppingList" displayName="ShoppingList" ref="A4:K32" headerRowCount="1" totalsRowCount="0" totalsRowShown="0">
  <x:tableColumns count="11">
    <x:tableColumn id="1" name="Categoria"/>
    <x:tableColumn id="2" name="Priorita"/>
    <x:tableColumn id="3" name="Q.ta"/>
    <x:tableColumn id="4" name="Componente"/>
    <x:tableColumn id="5" name="Modello / ricerca consigliata"/>
    <x:tableColumn id="6" name="Dove trovarlo"/>
    <x:tableColumn id="7" name="Stato"/>
    <x:tableColumn id="8" name="Data acquisto"/>
    <x:tableColumn id="9" name="Prezzo stimato cad."/>
    <x:tableColumn id="10" name="Prezzo reale cad."/>
    <x:tableColumn id="11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336532fa3d4e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0" hidden="0" customWidth="1"/>
    <x:col min="3" max="3" width="6.880000114440918" hidden="0" customWidth="1"/>
    <x:col min="4" max="4" width="23.75" hidden="0" customWidth="1"/>
    <x:col min="5" max="5" width="33.75" hidden="0" customWidth="1"/>
    <x:col min="6" max="6" width="28.75" hidden="0" customWidth="1"/>
    <x:col min="7" max="7" width="14.380000114440918" hidden="0" customWidth="1"/>
    <x:col min="8" max="8" width="13.130000114440918" hidden="0" customWidth="1"/>
    <x:col min="9" max="9" width="14.380000114440918" hidden="0" customWidth="1"/>
    <x:col min="10" max="10" width="14.380000114440918" hidden="0" customWidth="1"/>
    <x:col min="11" max="11" width="37.5" hidden="0" customWidth="1"/>
  </x:cols>
  <x:sheetData>
    <x:row r="1">
      <x:c r="A1" s="21" t="str">
        <x:v>Irrigazione balcone - Lista della spesa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>
      <x:c r="A2" s="23" t="str">
        <x:v>Aggiorna la colonna Stato mentre acquisti. I prezzi stimati sono indicativi e modificabili.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</x:row>
    <x:row r="4">
      <x:c r="A4" s="25" t="str">
        <x:v>Categoria</x:v>
      </x:c>
      <x:c r="B4" s="25" t="str">
        <x:v>Priorita</x:v>
      </x:c>
      <x:c r="C4" s="25" t="str">
        <x:v>Q.ta</x:v>
      </x:c>
      <x:c r="D4" s="25" t="str">
        <x:v>Componente</x:v>
      </x:c>
      <x:c r="E4" s="25" t="str">
        <x:v>Modello / ricerca consigliata</x:v>
      </x:c>
      <x:c r="F4" s="25" t="str">
        <x:v>Dove trovarlo</x:v>
      </x:c>
      <x:c r="G4" s="25" t="str">
        <x:v>Stato</x:v>
      </x:c>
      <x:c r="H4" s="25" t="str">
        <x:v>Data acquisto</x:v>
      </x:c>
      <x:c r="I4" s="25" t="str">
        <x:v>Prezzo stimato cad.</x:v>
      </x:c>
      <x:c r="J4" s="25" t="str">
        <x:v>Prezzo reale cad.</x:v>
      </x:c>
      <x:c r="K4" s="25" t="str">
        <x:v>Note</x:v>
      </x:c>
    </x:row>
    <x:row r="5">
      <x:c r="A5" s="12" t="str">
        <x:v>Controllo</x:v>
      </x:c>
      <x:c r="B5" s="12" t="str">
        <x:v>Alta</x:v>
      </x:c>
      <x:c r="C5" s="13" t="n">
        <x:v>1</x:v>
      </x:c>
      <x:c r="D5" s="12" t="str">
        <x:v>Raspberry Pi 4 Model B</x:v>
      </x:c>
      <x:c r="E5" s="12" t="str">
        <x:v>4GB o 8GB RAM, Wi-Fi integrato</x:v>
      </x:c>
      <x:c r="F5" s="12" t="str">
        <x:v>Amazon, Melopero, The Pi Hut</x:v>
      </x:c>
      <x:c r="G5" s="12" t="str">
        <x:v>Da acquistare</x:v>
      </x:c>
      <x:c r="H5" s="15" t="str"/>
      <x:c r="I5" s="14" t="n">
        <x:v>65</x:v>
      </x:c>
      <x:c r="J5" s="14" t="str"/>
      <x:c r="K5" s="12" t="str">
        <x:v>Sostituisce il Pi Zero 2 W (guasto): stesso GPIO a 40 pin, nessuna modifica al software</x:v>
      </x:c>
    </x:row>
    <x:row r="6">
      <x:c r="A6" s="12" t="str">
        <x:v>Controllo</x:v>
      </x:c>
      <x:c r="B6" s="12" t="str">
        <x:v>Alta</x:v>
      </x:c>
      <x:c r="C6" s="13" t="n">
        <x:v>1</x:v>
      </x:c>
      <x:c r="D6" s="12" t="str">
        <x:v>MicroSD high endurance</x:v>
      </x:c>
      <x:c r="E6" s="12" t="str">
        <x:v>SanDisk High Endurance 32/64 GB</x:v>
      </x:c>
      <x:c r="F6" s="12" t="str">
        <x:v>Amazon, MediaWorld, Unieuro</x:v>
      </x:c>
      <x:c r="G6" s="12" t="str">
        <x:v>Da acquistare</x:v>
      </x:c>
      <x:c r="H6" s="15" t="str"/>
      <x:c r="I6" s="14" t="n">
        <x:v>10</x:v>
      </x:c>
      <x:c r="J6" s="14" t="str"/>
      <x:c r="K6" s="12" t="str">
        <x:v>Meglio endurance per uso sempre acceso</x:v>
      </x:c>
    </x:row>
    <x:row r="7">
      <x:c r="A7" s="12" t="str">
        <x:v>Alimentazione</x:v>
      </x:c>
      <x:c r="B7" s="12" t="str">
        <x:v>Alta</x:v>
      </x:c>
      <x:c r="C7" s="13" t="n">
        <x:v>1</x:v>
      </x:c>
      <x:c r="D7" s="12" t="str">
        <x:v>Buck 1: convertitore 12V -&gt; 5V per Pi</x:v>
      </x:c>
      <x:c r="E7" s="12" t="str">
        <x:v>XWST o simile, 12V/24V a 5V 5A, protezione sovratensione/cortocircuito/termica</x:v>
      </x:c>
      <x:c r="F7" s="12" t="str">
        <x:v>Amazon</x:v>
      </x:c>
      <x:c r="G7" s="12" t="str">
        <x:v>Da acquistare</x:v>
      </x:c>
      <x:c r="H7" s="15" t="str"/>
      <x:c r="I7" s="14" t="n">
        <x:v>15</x:v>
      </x:c>
      <x:c r="J7" s="14" t="str"/>
      <x:c r="K7" s="12" t="str">
        <x:v>Dedicato al Raspberry Pi 4 (richiede 5V/3A): margine sopra il minimo, non condiviso col rele</x:v>
      </x:c>
    </x:row>
    <x:row r="8">
      <x:c r="A8" s="12" t="str">
        <x:v>Alimentazione</x:v>
      </x:c>
      <x:c r="B8" s="12" t="str">
        <x:v>Alta</x:v>
      </x:c>
      <x:c r="C8" s="13" t="n">
        <x:v>1</x:v>
      </x:c>
      <x:c r="D8" s="12" t="str">
        <x:v>Buck 2: convertitore 12V -&gt; 5V per rele</x:v>
      </x:c>
      <x:c r="E8" s="12" t="str">
        <x:v>12V a 5V 3A fisso, protezione cortocircuito</x:v>
      </x:c>
      <x:c r="F8" s="12" t="str">
        <x:v>Amazon</x:v>
      </x:c>
      <x:c r="G8" s="12" t="str">
        <x:v>Da acquistare</x:v>
      </x:c>
      <x:c r="H8" s="15" t="str"/>
      <x:c r="I8" s="14" t="n">
        <x:v>10</x:v>
      </x:c>
      <x:c r="J8" s="14" t="str"/>
      <x:c r="K8" s="12" t="str">
        <x:v>Alimenta solo JD-VCC (bobine rele, circa 210 mA): dedicato, non condiviso col Pi. VCC resta dal 3.3V del Pi</x:v>
      </x:c>
    </x:row>
    <x:row r="9">
      <x:c r="A9" s="12" t="str">
        <x:v>Pompe</x:v>
      </x:c>
      <x:c r="B9" s="12" t="str">
        <x:v>Alta</x:v>
      </x:c>
      <x:c r="C9" s="13" t="n">
        <x:v>3</x:v>
      </x:c>
      <x:c r="D9" s="12" t="str">
        <x:v>Pompa sommersa 12V</x:v>
      </x:c>
      <x:c r="E9" s="12" t="str">
        <x:v>Pompa 12V DC circa 600 L/h, prevalenza circa 5 m</x:v>
      </x:c>
      <x:c r="F9" s="12" t="str">
        <x:v>Leroy Merlin, ManoMano, Amazon</x:v>
      </x:c>
      <x:c r="G9" s="12" t="str">
        <x:v>Da acquistare</x:v>
      </x:c>
      <x:c r="H9" s="15" t="str"/>
      <x:c r="I9" s="14" t="n">
        <x:v>12</x:v>
      </x:c>
      <x:c r="J9" s="14" t="str"/>
      <x:c r="K9" s="12" t="str">
        <x:v>Una per zona; verificare corrente assorbita</x:v>
      </x:c>
    </x:row>
    <x:row r="10">
      <x:c r="A10" s="12" t="str">
        <x:v>Elettronica</x:v>
      </x:c>
      <x:c r="B10" s="12" t="str">
        <x:v>Alta</x:v>
      </x:c>
      <x:c r="C10" s="13" t="n">
        <x:v>1</x:v>
      </x:c>
      <x:c r="D10" s="12" t="str">
        <x:v>Modulo rele 8 canali 5V optoisolato</x:v>
      </x:c>
      <x:c r="E10" s="12" t="str">
        <x:v>Elegoo 8-Channel, optoisolato, 10A 250VAC/30VDC, jumper VCC/JD-VCC removibile</x:v>
      </x:c>
      <x:c r="F10" s="12" t="str">
        <x:v>Amazon (Elegoo)</x:v>
      </x:c>
      <x:c r="G10" s="12" t="str">
        <x:v>Da acquistare</x:v>
      </x:c>
      <x:c r="H10" s="15" t="str"/>
      <x:c r="I10" s="14" t="n">
        <x:v>10</x:v>
      </x:c>
      <x:c r="J10" s="14" t="str"/>
      <x:c r="K10" s="12" t="str">
        <x:v>Sostituisce i driver MOSFET (calo di tensione sui cavetti JST sotto carico): usa 3 canali su 8, margine per espansioni</x:v>
      </x:c>
    </x:row>
    <x:row r="11">
      <x:c r="A11" s="12" t="str">
        <x:v>Protezione</x:v>
      </x:c>
      <x:c r="B11" s="12" t="str">
        <x:v>Alta</x:v>
      </x:c>
      <x:c r="C11" s="13" t="n">
        <x:v>5</x:v>
      </x:c>
      <x:c r="D11" s="12" t="str">
        <x:v>Diodo di ricircolo</x:v>
      </x:c>
      <x:c r="E11" s="12" t="str">
        <x:v>1N5819 Schottky (o 1N4007)</x:v>
      </x:c>
      <x:c r="F11" s="12" t="str">
        <x:v>Amazon, negozi elettronica</x:v>
      </x:c>
      <x:c r="G11" s="12" t="str">
        <x:v>Da acquistare</x:v>
      </x:c>
      <x:c r="H11" s="15" t="str"/>
      <x:c r="I11" s="14" t="n">
        <x:v>1</x:v>
      </x:c>
      <x:c r="J11" s="14" t="str"/>
      <x:c r="K11" s="12" t="str">
        <x:v>Uno in antiparallelo su ogni pompa, catodo al +: assorbe lo spike induttivo quando il rele apre</x:v>
      </x:c>
    </x:row>
    <x:row r="12">
      <x:c r="A12" s="12" t="str">
        <x:v>Cablaggio</x:v>
      </x:c>
      <x:c r="B12" s="12" t="str">
        <x:v>Alta</x:v>
      </x:c>
      <x:c r="C12" s="13" t="n">
        <x:v>1</x:v>
      </x:c>
      <x:c r="D12" s="12" t="str">
        <x:v>Jumper Dupont femmina-femmina</x:v>
      </x:c>
      <x:c r="E12" s="12" t="str">
        <x:v>Kit 40 pin F-F, 10-20 cm</x:v>
      </x:c>
      <x:c r="F12" s="12" t="str">
        <x:v>Amazon</x:v>
      </x:c>
      <x:c r="G12" s="12" t="str">
        <x:v>Da acquistare</x:v>
      </x:c>
      <x:c r="H12" s="15" t="str"/>
      <x:c r="I12" s="14" t="n">
        <x:v>5</x:v>
      </x:c>
      <x:c r="J12" s="14" t="str"/>
      <x:c r="K12" s="12" t="str">
        <x:v>IN1/IN2/IN3, VCC, JD-VCC, GND della scheda rele verso i pin header del Raspberry</x:v>
      </x:c>
    </x:row>
    <x:row r="13">
      <x:c r="A13" s="12" t="str">
        <x:v>Alimentazione</x:v>
      </x:c>
      <x:c r="B13" s="12" t="str">
        <x:v>Alta</x:v>
      </x:c>
      <x:c r="C13" s="13" t="n">
        <x:v>1</x:v>
      </x:c>
      <x:c r="D13" s="12" t="str">
        <x:v>Batteria LiFePO4 12V</x:v>
      </x:c>
      <x:c r="E13" s="12" t="str">
        <x:v>12.8V 20Ah con BMS integrato</x:v>
      </x:c>
      <x:c r="F13" s="12" t="str">
        <x:v>Amazon: ECO-WORTHY, Renogy, Redodo, Kepworth</x:v>
      </x:c>
      <x:c r="G13" s="12" t="str">
        <x:v>Da acquistare</x:v>
      </x:c>
      <x:c r="H13" s="15" t="str"/>
      <x:c r="I13" s="14" t="n">
        <x:v>75</x:v>
      </x:c>
      <x:c r="J13" s="14" t="str"/>
      <x:c r="K13" s="12" t="str">
        <x:v>20Ah consigliati per margine</x:v>
      </x:c>
    </x:row>
    <x:row r="14">
      <x:c r="A14" s="12" t="str">
        <x:v>Solare</x:v>
      </x:c>
      <x:c r="B14" s="12" t="str">
        <x:v>Alta</x:v>
      </x:c>
      <x:c r="C14" s="13" t="n">
        <x:v>1</x:v>
      </x:c>
      <x:c r="D14" s="12" t="str">
        <x:v>Regolatore solare MPPT</x:v>
      </x:c>
      <x:c r="E14" s="12" t="str">
        <x:v>Victron SmartSolar MPPT 75/10 compatibile LiFePO4</x:v>
      </x:c>
      <x:c r="F14" s="12" t="str">
        <x:v>Moory, Toosolar, Amazon</x:v>
      </x:c>
      <x:c r="G14" s="12" t="str">
        <x:v>Da acquistare</x:v>
      </x:c>
      <x:c r="H14" s="15" t="str"/>
      <x:c r="I14" s="14" t="n">
        <x:v>70</x:v>
      </x:c>
      <x:c r="J14" s="14" t="str"/>
      <x:c r="K14" s="12" t="str">
        <x:v>Piu affidabile dei PWM economici</x:v>
      </x:c>
    </x:row>
    <x:row r="15">
      <x:c r="A15" s="12" t="str">
        <x:v>Solare</x:v>
      </x:c>
      <x:c r="B15" s="12" t="str">
        <x:v>Alta</x:v>
      </x:c>
      <x:c r="C15" s="13" t="n">
        <x:v>1</x:v>
      </x:c>
      <x:c r="D15" s="12" t="str">
        <x:v>Pannello solare</x:v>
      </x:c>
      <x:c r="E15" s="12" t="str">
        <x:v>Pannello 12V 50W minimo, 100W consigliato</x:v>
      </x:c>
      <x:c r="F15" s="12" t="str">
        <x:v>FuturaNet, Amazon, Leroy Merlin</x:v>
      </x:c>
      <x:c r="G15" s="12" t="str">
        <x:v>Da acquistare</x:v>
      </x:c>
      <x:c r="H15" s="15" t="str"/>
      <x:c r="I15" s="14" t="n">
        <x:v>65</x:v>
      </x:c>
      <x:c r="J15" s="14" t="str"/>
      <x:c r="K15" s="12" t="str">
        <x:v>100W se vuoi piu autonomia in giorni nuvolosi</x:v>
      </x:c>
    </x:row>
    <x:row r="16">
      <x:c r="A16" s="12" t="str">
        <x:v>Idraulica</x:v>
      </x:c>
      <x:c r="B16" s="12" t="str">
        <x:v>Alta</x:v>
      </x:c>
      <x:c r="C16" s="13" t="n">
        <x:v>1</x:v>
      </x:c>
      <x:c r="D16" s="12" t="str">
        <x:v>Kit irrigazione balcone</x:v>
      </x:c>
      <x:c r="E16" s="12" t="str">
        <x:v>Claber Kit Terrazzo 90772 o Kit Drip 20 vasi 90764</x:v>
      </x:c>
      <x:c r="F16" s="12" t="str">
        <x:v>Claber, Leroy Merlin, Brico, ManoMano</x:v>
      </x:c>
      <x:c r="G16" s="12" t="str">
        <x:v>Da acquistare</x:v>
      </x:c>
      <x:c r="H16" s="15" t="str"/>
      <x:c r="I16" s="14" t="n">
        <x:v>55</x:v>
      </x:c>
      <x:c r="J16" s="14" t="str"/>
      <x:c r="K16" s="12" t="str">
        <x:v>Da dividere in tre zone separate</x:v>
      </x:c>
    </x:row>
    <x:row r="17">
      <x:c r="A17" s="12" t="str">
        <x:v>Idraulica</x:v>
      </x:c>
      <x:c r="B17" s="12" t="str">
        <x:v>Alta</x:v>
      </x:c>
      <x:c r="C17" s="13" t="n">
        <x:v>3</x:v>
      </x:c>
      <x:c r="D17" s="12" t="str">
        <x:v>Valvola di non ritorno</x:v>
      </x:c>
      <x:c r="E17" s="12" t="str">
        <x:v>Valvola per tubo 6/8/10 mm secondo diametro pompa</x:v>
      </x:c>
      <x:c r="F17" s="12" t="str">
        <x:v>Amazon, negozi acquari, Leroy Merlin</x:v>
      </x:c>
      <x:c r="G17" s="12" t="str">
        <x:v>Da acquistare</x:v>
      </x:c>
      <x:c r="H17" s="15" t="str"/>
      <x:c r="I17" s="14" t="n">
        <x:v>3</x:v>
      </x:c>
      <x:c r="J17" s="14" t="str"/>
      <x:c r="K17" s="12" t="str">
        <x:v>Una dopo ogni pompa</x:v>
      </x:c>
    </x:row>
    <x:row r="18">
      <x:c r="A18" s="12" t="str">
        <x:v>Idraulica</x:v>
      </x:c>
      <x:c r="B18" s="12" t="str">
        <x:v>Alta</x:v>
      </x:c>
      <x:c r="C18" s="13" t="n">
        <x:v>3</x:v>
      </x:c>
      <x:c r="D18" s="12" t="str">
        <x:v>Filtro in linea</x:v>
      </x:c>
      <x:c r="E18" s="12" t="str">
        <x:v>Filtro microirrigazione 120/150 mesh</x:v>
      </x:c>
      <x:c r="F18" s="12" t="str">
        <x:v>Amazon, agrarie, Leroy Merlin</x:v>
      </x:c>
      <x:c r="G18" s="12" t="str">
        <x:v>Da acquistare</x:v>
      </x:c>
      <x:c r="H18" s="15" t="str"/>
      <x:c r="I18" s="14" t="n">
        <x:v>5</x:v>
      </x:c>
      <x:c r="J18" s="14" t="str"/>
      <x:c r="K18" s="12" t="str">
        <x:v>Riduce intasamento gocciolatori</x:v>
      </x:c>
    </x:row>
    <x:row r="19">
      <x:c r="A19" s="12" t="str">
        <x:v>Idraulica</x:v>
      </x:c>
      <x:c r="B19" s="12" t="str">
        <x:v>Alta</x:v>
      </x:c>
      <x:c r="C19" s="13" t="n">
        <x:v>1</x:v>
      </x:c>
      <x:c r="D19" s="12" t="str">
        <x:v>Serbatoio acqua</x:v>
      </x:c>
      <x:c r="E19" s="12" t="str">
        <x:v>60-100 L, opaco, con coperchio</x:v>
      </x:c>
      <x:c r="F19" s="12" t="str">
        <x:v>Leroy Merlin, Brico, agrarie</x:v>
      </x:c>
      <x:c r="G19" s="12" t="str">
        <x:v>Da acquistare</x:v>
      </x:c>
      <x:c r="H19" s="15" t="str"/>
      <x:c r="I19" s="14" t="n">
        <x:v>35</x:v>
      </x:c>
      <x:c r="J19" s="14" t="str"/>
      <x:c r="K19" s="12" t="str">
        <x:v>Meglio in ombra e chiuso</x:v>
      </x:c>
    </x:row>
    <x:row r="20">
      <x:c r="A20" s="12" t="str">
        <x:v>Protezione</x:v>
      </x:c>
      <x:c r="B20" s="12" t="str">
        <x:v>Alta</x:v>
      </x:c>
      <x:c r="C20" s="13" t="n">
        <x:v>1</x:v>
      </x:c>
      <x:c r="D20" s="12" t="str">
        <x:v>Scatola elettrica stagna</x:v>
      </x:c>
      <x:c r="E20" s="12" t="str">
        <x:v>Box IP65/IP66 almeno 220x170x90 mm (Pi 4 piu ingombrante dello Zero)</x:v>
      </x:c>
      <x:c r="F20" s="12" t="str">
        <x:v>Leroy Merlin, Amazon, elettricista</x:v>
      </x:c>
      <x:c r="G20" s="12" t="str">
        <x:v>Da acquistare</x:v>
      </x:c>
      <x:c r="H20" s="15" t="str"/>
      <x:c r="I20" s="14" t="n">
        <x:v>18</x:v>
      </x:c>
      <x:c r="J20" s="14" t="str"/>
      <x:c r="K20" s="12" t="str">
        <x:v>Tenere in ombra o schermata dal sole diretto; verifica che ci stiano Pi 4 + due buck + scheda rele</x:v>
      </x:c>
    </x:row>
    <x:row r="21">
      <x:c r="A21" s="12" t="str">
        <x:v>Protezione</x:v>
      </x:c>
      <x:c r="B21" s="12" t="str">
        <x:v>Alta</x:v>
      </x:c>
      <x:c r="C21" s="13" t="n">
        <x:v>1</x:v>
      </x:c>
      <x:c r="D21" s="12" t="str">
        <x:v>Set pressacavi</x:v>
      </x:c>
      <x:c r="E21" s="12" t="str">
        <x:v>Pressacavi IP68 M12/M16 assortiti</x:v>
      </x:c>
      <x:c r="F21" s="12" t="str">
        <x:v>Amazon, Leroy Merlin</x:v>
      </x:c>
      <x:c r="G21" s="12" t="str">
        <x:v>Da acquistare</x:v>
      </x:c>
      <x:c r="H21" s="15" t="str"/>
      <x:c r="I21" s="14" t="n">
        <x:v>10</x:v>
      </x:c>
      <x:c r="J21" s="14" t="str"/>
      <x:c r="K21" s="12" t="str">
        <x:v>Per ingressi cavi nel box</x:v>
      </x:c>
    </x:row>
    <x:row r="22">
      <x:c r="A22" s="12" t="str">
        <x:v>Cablaggio</x:v>
      </x:c>
      <x:c r="B22" s="12" t="str">
        <x:v>Alta</x:v>
      </x:c>
      <x:c r="C22" s="13" t="n">
        <x:v>1</x:v>
      </x:c>
      <x:c r="D22" s="12" t="str">
        <x:v>Morsetti Wago 221</x:v>
      </x:c>
      <x:c r="E22" s="12" t="str">
        <x:v>Set Wago 221 2/3/5 poli</x:v>
      </x:c>
      <x:c r="F22" s="12" t="str">
        <x:v>Amazon, elettricista</x:v>
      </x:c>
      <x:c r="G22" s="12" t="str">
        <x:v>Da acquistare</x:v>
      </x:c>
      <x:c r="H22" s="15" t="str"/>
      <x:c r="I22" s="14" t="n">
        <x:v>15</x:v>
      </x:c>
      <x:c r="J22" s="14" t="str"/>
      <x:c r="K22" s="12" t="str">
        <x:v>Per evitare saldature</x:v>
      </x:c>
    </x:row>
    <x:row r="23">
      <x:c r="A23" s="12" t="str">
        <x:v>Cablaggio</x:v>
      </x:c>
      <x:c r="B23" s="12" t="str">
        <x:v>Alta</x:v>
      </x:c>
      <x:c r="C23" s="13" t="n">
        <x:v>5</x:v>
      </x:c>
      <x:c r="D23" s="12" t="str">
        <x:v>Portafusibili 12V</x:v>
      </x:c>
      <x:c r="E23" s="12" t="str">
        <x:v>Portafusibili auto ATO/ATC impermeabili</x:v>
      </x:c>
      <x:c r="F23" s="12" t="str">
        <x:v>Amazon, autoricambi</x:v>
      </x:c>
      <x:c r="G23" s="12" t="str">
        <x:v>Da acquistare</x:v>
      </x:c>
      <x:c r="H23" s="15" t="str"/>
      <x:c r="I23" s="14" t="n">
        <x:v>2</x:v>
      </x:c>
      <x:c r="J23" s="14" t="str"/>
      <x:c r="K23" s="12" t="str">
        <x:v>Generale + uno per ogni pompa + scorta</x:v>
      </x:c>
    </x:row>
    <x:row r="24">
      <x:c r="A24" s="12" t="str">
        <x:v>Cablaggio</x:v>
      </x:c>
      <x:c r="B24" s="12" t="str">
        <x:v>Alta</x:v>
      </x:c>
      <x:c r="C24" s="13" t="n">
        <x:v>1</x:v>
      </x:c>
      <x:c r="D24" s="12" t="str">
        <x:v>Set fusibili</x:v>
      </x:c>
      <x:c r="E24" s="12" t="str">
        <x:v>Fusibili auto 2A/3A/5A/10A assortiti</x:v>
      </x:c>
      <x:c r="F24" s="12" t="str">
        <x:v>Amazon, autoricambi</x:v>
      </x:c>
      <x:c r="G24" s="12" t="str">
        <x:v>Da acquistare</x:v>
      </x:c>
      <x:c r="H24" s="15" t="str"/>
      <x:c r="I24" s="14" t="n">
        <x:v>8</x:v>
      </x:c>
      <x:c r="J24" s="14" t="str"/>
      <x:c r="K24" s="12" t="str">
        <x:v>Dimensionare in base alle pompe reali</x:v>
      </x:c>
    </x:row>
    <x:row r="25">
      <x:c r="A25" s="12" t="str">
        <x:v>Cablaggio</x:v>
      </x:c>
      <x:c r="B25" s="12" t="str">
        <x:v>Media</x:v>
      </x:c>
      <x:c r="C25" s="13" t="n">
        <x:v>1</x:v>
      </x:c>
      <x:c r="D25" s="12" t="str">
        <x:v>Interruttore generale 12V</x:v>
      </x:c>
      <x:c r="E25" s="12" t="str">
        <x:v>Interruttore DC da quadro o impermeabile</x:v>
      </x:c>
      <x:c r="F25" s="12" t="str">
        <x:v>Amazon, elettricista</x:v>
      </x:c>
      <x:c r="G25" s="12" t="str">
        <x:v>Da acquistare</x:v>
      </x:c>
      <x:c r="H25" s="15" t="str"/>
      <x:c r="I25" s="14" t="n">
        <x:v>8</x:v>
      </x:c>
      <x:c r="J25" s="14" t="str"/>
      <x:c r="K25" s="12" t="str">
        <x:v>Per manutenzione rapida</x:v>
      </x:c>
    </x:row>
    <x:row r="26">
      <x:c r="A26" s="12" t="str">
        <x:v>Sensori</x:v>
      </x:c>
      <x:c r="B26" s="12" t="str">
        <x:v>Alta</x:v>
      </x:c>
      <x:c r="C26" s="13" t="n">
        <x:v>1</x:v>
      </x:c>
      <x:c r="D26" s="12" t="str">
        <x:v>Sensore livello acqua</x:v>
      </x:c>
      <x:c r="E26" s="12" t="str">
        <x:v>Galleggiante serbatoio NO/NC</x:v>
      </x:c>
      <x:c r="F26" s="12" t="str">
        <x:v>Amazon, negozi elettronica</x:v>
      </x:c>
      <x:c r="G26" s="12" t="str">
        <x:v>Da acquistare</x:v>
      </x:c>
      <x:c r="H26" s="15" t="str"/>
      <x:c r="I26" s="14" t="n">
        <x:v>7</x:v>
      </x:c>
      <x:c r="J26" s="14" t="str"/>
      <x:c r="K26" s="12" t="str">
        <x:v>Blocco anti-marcia a secco</x:v>
      </x:c>
    </x:row>
    <x:row r="27">
      <x:c r="A27" s="12" t="str">
        <x:v>Sensori</x:v>
      </x:c>
      <x:c r="B27" s="12" t="str">
        <x:v>Media</x:v>
      </x:c>
      <x:c r="C27" s="13" t="n">
        <x:v>1</x:v>
      </x:c>
      <x:c r="D27" s="12" t="str">
        <x:v>ADC ADS1115</x:v>
      </x:c>
      <x:c r="E27" s="12" t="str">
        <x:v>ADS1115 I2C 16 bit pre-soldered / STEMMA QT</x:v>
      </x:c>
      <x:c r="F27" s="12" t="str">
        <x:v>Adafruit, Amazon, Seeed, Robot Italy</x:v>
      </x:c>
      <x:c r="G27" s="12" t="str">
        <x:v>Da acquistare</x:v>
      </x:c>
      <x:c r="H27" s="15" t="str"/>
      <x:c r="I27" s="14" t="n">
        <x:v>12</x:v>
      </x:c>
      <x:c r="J27" s="14" t="str"/>
      <x:c r="K27" s="12" t="str">
        <x:v>Serve per sensori analogici umidita</x:v>
      </x:c>
    </x:row>
    <x:row r="28">
      <x:c r="A28" s="12" t="str">
        <x:v>Sensori</x:v>
      </x:c>
      <x:c r="B28" s="12" t="str">
        <x:v>Media</x:v>
      </x:c>
      <x:c r="C28" s="13" t="n">
        <x:v>3</x:v>
      </x:c>
      <x:c r="D28" s="12" t="str">
        <x:v>Sensori umidita terreno</x:v>
      </x:c>
      <x:c r="E28" s="12" t="str">
        <x:v>DFRobot SEN0308 waterproof capacitivo o equivalente</x:v>
      </x:c>
      <x:c r="F28" s="12" t="str">
        <x:v>Farnell, DFRobot, Robot Italy</x:v>
      </x:c>
      <x:c r="G28" s="12" t="str">
        <x:v>Da acquistare</x:v>
      </x:c>
      <x:c r="H28" s="15" t="str"/>
      <x:c r="I28" s="14" t="n">
        <x:v>12</x:v>
      </x:c>
      <x:c r="J28" s="14" t="str"/>
      <x:c r="K28" s="12" t="str">
        <x:v>Uno per zona all'inizio</x:v>
      </x:c>
    </x:row>
    <x:row r="29">
      <x:c r="A29" s="12" t="str">
        <x:v>Sensori</x:v>
      </x:c>
      <x:c r="B29" s="12" t="str">
        <x:v>Bassa</x:v>
      </x:c>
      <x:c r="C29" s="13" t="n">
        <x:v>1</x:v>
      </x:c>
      <x:c r="D29" s="12" t="str">
        <x:v>Sensore aria</x:v>
      </x:c>
      <x:c r="E29" s="12" t="str">
        <x:v>BME280 o SHT31 temperatura/umidita</x:v>
      </x:c>
      <x:c r="F29" s="12" t="str">
        <x:v>Amazon, Robot Italy, Melopero</x:v>
      </x:c>
      <x:c r="G29" s="12" t="str">
        <x:v>Da acquistare</x:v>
      </x:c>
      <x:c r="H29" s="15" t="str"/>
      <x:c r="I29" s="14" t="n">
        <x:v>8</x:v>
      </x:c>
      <x:c r="J29" s="14" t="str"/>
      <x:c r="K29" s="12" t="str">
        <x:v>Utile per modalita estate/inverno</x:v>
      </x:c>
    </x:row>
    <x:row r="30">
      <x:c r="A30" s="12" t="str">
        <x:v>Cablaggio</x:v>
      </x:c>
      <x:c r="B30" s="12" t="str">
        <x:v>Media</x:v>
      </x:c>
      <x:c r="C30" s="13" t="n">
        <x:v>1</x:v>
      </x:c>
      <x:c r="D30" s="12" t="str">
        <x:v>Cavo elettrico pompe</x:v>
      </x:c>
      <x:c r="E30" s="12" t="str">
        <x:v>2x0.75 mm2 o 2x1 mm2</x:v>
      </x:c>
      <x:c r="F30" s="12" t="str">
        <x:v>Leroy Merlin, Brico, elettricista</x:v>
      </x:c>
      <x:c r="G30" s="12" t="str">
        <x:v>Da acquistare</x:v>
      </x:c>
      <x:c r="H30" s="15" t="str"/>
      <x:c r="I30" s="14" t="n">
        <x:v>20</x:v>
      </x:c>
      <x:c r="J30" s="14" t="str"/>
      <x:c r="K30" s="12" t="str">
        <x:v>Usare sezioni maggiori per tratte lunghe</x:v>
      </x:c>
    </x:row>
    <x:row r="31">
      <x:c r="A31" s="12" t="str">
        <x:v>Idraulica</x:v>
      </x:c>
      <x:c r="B31" s="12" t="str">
        <x:v>Media</x:v>
      </x:c>
      <x:c r="C31" s="13" t="n">
        <x:v>1</x:v>
      </x:c>
      <x:c r="D31" s="12" t="str">
        <x:v>Tubi e raccordi extra</x:v>
      </x:c>
      <x:c r="E31" s="12" t="str">
        <x:v>Microtubo 4/6 mm, tubo 8/10 mm, T, rubinetti, tappi</x:v>
      </x:c>
      <x:c r="F31" s="12" t="str">
        <x:v>Claber, Leroy Merlin, agrarie</x:v>
      </x:c>
      <x:c r="G31" s="12" t="str">
        <x:v>Da acquistare</x:v>
      </x:c>
      <x:c r="H31" s="15" t="str"/>
      <x:c r="I31" s="14" t="n">
        <x:v>25</x:v>
      </x:c>
      <x:c r="J31" s="14" t="str"/>
      <x:c r="K31" s="12" t="str">
        <x:v>Serve sempre piu di quanto sembra</x:v>
      </x:c>
    </x:row>
    <x:row r="32">
      <x:c r="A32" s="12" t="str">
        <x:v>Cablaggio</x:v>
      </x:c>
      <x:c r="B32" s="12" t="str">
        <x:v>Media</x:v>
      </x:c>
      <x:c r="C32" s="13" t="n">
        <x:v>6</x:v>
      </x:c>
      <x:c r="D32" s="12" t="str">
        <x:v>Connettori impermeabili 2 pin</x:v>
      </x:c>
      <x:c r="E32" s="12" t="str">
        <x:v>Connettori IP67/IP68 a vite o pre-cablati</x:v>
      </x:c>
      <x:c r="F32" s="12" t="str">
        <x:v>Amazon, negozi elettronica</x:v>
      </x:c>
      <x:c r="G32" s="12" t="str">
        <x:v>Da acquistare</x:v>
      </x:c>
      <x:c r="H32" s="15" t="str"/>
      <x:c r="I32" s="14" t="n">
        <x:v>3</x:v>
      </x:c>
      <x:c r="J32" s="14" t="str"/>
      <x:c r="K32" s="12" t="str">
        <x:v>Per staccare pompe e sensori senza aprire tutto</x:v>
      </x:c>
    </x:row>
  </x:sheetData>
  <x:mergeCells>
    <x:mergeCell ref="A1:K1"/>
    <x:mergeCell ref="A2:K2"/>
  </x:mergeCells>
  <x:conditionalFormatting sqref="G5:G32">
    <x:cfRule type="containsText" dxfId="0" priority="1" operator="containsText" text="Acquistato"/>
    <x:cfRule type="containsText" dxfId="1" priority="2" operator="containsText" text="Da acquistare"/>
    <x:cfRule type="containsText" dxfId="2" priority="3" operator="containsText" text="Ordinato"/>
  </x:conditionalFormatting>
  <x:dataValidations count="2">
    <x:dataValidation type="list" sqref="G5:G32">
      <x:formula1>"Da acquistare,Ordinato,Acquistato,Non serve"</x:formula1>
    </x:dataValidation>
    <x:dataValidation type="list" sqref="B5:B32">
      <x:formula1>"Alta,Media,Bassa"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336532fa3d4e9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7.5" hidden="0" customWidth="1"/>
    <x:col min="4" max="4" width="23.75" hidden="0" customWidth="1"/>
    <x:col min="5" max="5" width="23.75" hidden="0" customWidth="1"/>
    <x:col min="6" max="6" width="23.75" hidden="0" customWidth="1"/>
  </x:cols>
  <x:sheetData>
    <x:row r="1">
      <x:c r="A1" s="26" t="str">
        <x:v>Riepilogo acquisti</x:v>
      </x:c>
      <x:c r="B1" s="24"/>
      <x:c r="C1" s="24"/>
      <x:c r="D1" s="24"/>
      <x:c r="E1" s="24"/>
      <x:c r="F1" s="24"/>
    </x:row>
    <x:row r="2">
      <x:c r="A2" s="24"/>
      <x:c r="B2" s="24"/>
      <x:c r="C2" s="24"/>
      <x:c r="D2" s="24"/>
      <x:c r="E2" s="24"/>
      <x:c r="F2" s="24"/>
    </x:row>
    <x:row r="3">
      <x:c r="A3" s="27" t="str">
        <x:v>Totale righe</x:v>
      </x:c>
      <x:c r="B3" s="12" t="n">
        <x:f>COUNTA('Lista spesa'!D5:D32)</x:f>
        <x:v>28</x:v>
      </x:c>
      <x:c r="C3" s="24"/>
      <x:c r="D3" s="28" t="str">
        <x:v>Priorita</x:v>
      </x:c>
      <x:c r="E3" s="28" t="str">
        <x:v>Cosa fare</x:v>
      </x:c>
      <x:c r="F3" s="28" t="str">
        <x:v>Nota</x:v>
      </x:c>
    </x:row>
    <x:row r="4">
      <x:c r="A4" s="27" t="str">
        <x:v>Da acquistare</x:v>
      </x:c>
      <x:c r="B4" s="12" t="n">
        <x:f>COUNTIF('Lista spesa'!G5:G32,"Da acquistare")</x:f>
        <x:v>28</x:v>
      </x:c>
      <x:c r="C4" s="24"/>
      <x:c r="D4" s="12" t="str">
        <x:v>Alta</x:v>
      </x:c>
      <x:c r="E4" s="12" t="str">
        <x:v>Comprare prima</x:v>
      </x:c>
      <x:c r="F4" s="12" t="str">
        <x:v>Necessaria per impianto funzionante</x:v>
      </x:c>
    </x:row>
    <x:row r="5">
      <x:c r="A5" s="27" t="str">
        <x:v>Ordinato</x:v>
      </x:c>
      <x:c r="B5" s="12" t="n">
        <x:f>COUNTIF('Lista spesa'!G5:G32,"Ordinato")</x:f>
        <x:v>0</x:v>
      </x:c>
      <x:c r="C5" s="24"/>
      <x:c r="D5" s="12" t="str">
        <x:v>Media</x:v>
      </x:c>
      <x:c r="E5" s="12" t="str">
        <x:v>Comprare dopo primo test</x:v>
      </x:c>
      <x:c r="F5" s="12" t="str">
        <x:v>Utile per robustezza e automazione</x:v>
      </x:c>
    </x:row>
    <x:row r="6">
      <x:c r="A6" s="27" t="str">
        <x:v>Acquistato</x:v>
      </x:c>
      <x:c r="B6" s="12" t="n">
        <x:f>COUNTIF('Lista spesa'!G5:G32,"Acquistato")</x:f>
        <x:v>0</x:v>
      </x:c>
      <x:c r="C6" s="24"/>
      <x:c r="D6" s="12" t="str">
        <x:v>Bassa</x:v>
      </x:c>
      <x:c r="E6" s="12" t="str">
        <x:v>Opzionale</x:v>
      </x:c>
      <x:c r="F6" s="12" t="str">
        <x:v>Aggiunge comfort o dati</x:v>
      </x:c>
    </x:row>
    <x:row r="7">
      <x:c r="A7" s="27" t="str">
        <x:v>Non serve</x:v>
      </x:c>
      <x:c r="B7" s="12" t="n">
        <x:f>COUNTIF('Lista spesa'!G5:G32,"Non serve")</x:f>
        <x:v>0</x:v>
      </x:c>
      <x:c r="C7" s="24"/>
      <x:c r="D7" s="12" t="str">
        <x:v>Zero saldature</x:v>
      </x:c>
      <x:c r="E7" s="12" t="str">
        <x:v>Preferire morsetti</x:v>
      </x:c>
      <x:c r="F7" s="12" t="str">
        <x:v>Wago, morsetti a vite, connettori IP67</x:v>
      </x:c>
    </x:row>
    <x:row r="8">
      <x:c r="A8" s="27" t="str">
        <x:v>Budget stimato</x:v>
      </x:c>
      <x:c r="B8" s="14" t="n">
        <x:f>SUMPRODUCT('Lista spesa'!C5:C32,'Lista spesa'!I5:I32)</x:f>
        <x:v>675</x:v>
      </x:c>
      <x:c r="C8" s="24"/>
      <x:c r="D8" s="12" t="str">
        <x:v>Test iniziale</x:v>
      </x:c>
      <x:c r="E8" s="12" t="str">
        <x:v>Una pompa alla volta</x:v>
      </x:c>
      <x:c r="F8" s="12" t="str">
        <x:v>Misurare ml/min prima di automatizzare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.630000114440918" hidden="0" customWidth="1"/>
    <x:col min="3" max="3" width="23.75" hidden="0" customWidth="1"/>
    <x:col min="4" max="4" width="33.75" hidden="0" customWidth="1"/>
    <x:col min="6" max="6" width="11.880000114440918" hidden="0" customWidth="1"/>
    <x:col min="7" max="7" width="41.25" hidden="0" customWidth="1"/>
    <x:col min="8" max="8" width="22.5" hidden="0" customWidth="1"/>
  </x:cols>
  <x:sheetData>
    <x:row r="1">
      <x:c r="A1" s="21" t="str">
        <x:v>Schema tecnico rapido</x:v>
      </x:c>
      <x:c r="B1" s="22"/>
      <x:c r="C1" s="22"/>
      <x:c r="D1" s="22"/>
      <x:c r="E1" s="22"/>
      <x:c r="F1" s="22"/>
      <x:c r="G1" s="22"/>
      <x:c r="H1" s="22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>
      <x:c r="A3" s="28" t="str">
        <x:v>GPIO</x:v>
      </x:c>
      <x:c r="B3" s="28" t="str">
        <x:v>Pin fisico</x:v>
      </x:c>
      <x:c r="C3" s="28" t="str">
        <x:v>Funzione</x:v>
      </x:c>
      <x:c r="D3" s="28" t="str">
        <x:v>Nota</x:v>
      </x:c>
      <x:c r="E3" s="24"/>
      <x:c r="F3" s="28" t="str">
        <x:v>Linea</x:v>
      </x:c>
      <x:c r="G3" s="28" t="str">
        <x:v>Catena idraulica</x:v>
      </x:c>
      <x:c r="H3" s="28" t="str">
        <x:v>Regola</x:v>
      </x:c>
    </x:row>
    <x:row r="4">
      <x:c r="A4" s="12" t="str">
        <x:v>GPIO17</x:v>
      </x:c>
      <x:c r="B4" s="12" t="str">
        <x:v>11</x:v>
      </x:c>
      <x:c r="C4" s="12" t="str">
        <x:v>Pompa 1 - IN1 rele</x:v>
      </x:c>
      <x:c r="D4" s="12" t="str">
        <x:v>Zona acqua alta: basilico, menta</x:v>
      </x:c>
      <x:c r="E4" s="24"/>
      <x:c r="F4" s="12" t="str">
        <x:v>Pompa 1</x:v>
      </x:c>
      <x:c r="G4" s="12" t="str">
        <x:v>Pompa -&gt; valvola non ritorno -&gt; filtro -&gt; gocciolatori</x:v>
      </x:c>
      <x:c r="H4" s="12" t="str">
        <x:v>Run breve/frequente</x:v>
      </x:c>
    </x:row>
    <x:row r="5">
      <x:c r="A5" s="12" t="str">
        <x:v>GPIO27</x:v>
      </x:c>
      <x:c r="B5" s="12" t="str">
        <x:v>13</x:v>
      </x:c>
      <x:c r="C5" s="12" t="str">
        <x:v>Pompa 2 - IN2 rele</x:v>
      </x:c>
      <x:c r="D5" s="12" t="str">
        <x:v>Zona media: lauro/alloro, ornamentali</x:v>
      </x:c>
      <x:c r="E5" s="24"/>
      <x:c r="F5" s="12" t="str">
        <x:v>Pompa 2</x:v>
      </x:c>
      <x:c r="G5" s="12" t="str">
        <x:v>Pompa -&gt; valvola non ritorno -&gt; filtro -&gt; gocciolatori</x:v>
      </x:c>
      <x:c r="H5" s="12" t="str">
        <x:v>Run medio</x:v>
      </x:c>
    </x:row>
    <x:row r="6">
      <x:c r="A6" s="12" t="str">
        <x:v>GPIO22</x:v>
      </x:c>
      <x:c r="B6" s="12" t="str">
        <x:v>15</x:v>
      </x:c>
      <x:c r="C6" s="12" t="str">
        <x:v>Pompa 3 - IN3 rele</x:v>
      </x:c>
      <x:c r="D6" s="12" t="str">
        <x:v>Zona secca: rosmarino, oleandro</x:v>
      </x:c>
      <x:c r="E6" s="24"/>
      <x:c r="F6" s="12" t="str">
        <x:v>Pompa 3</x:v>
      </x:c>
      <x:c r="G6" s="12" t="str">
        <x:v>Pompa -&gt; valvola non ritorno -&gt; filtro -&gt; gocciolatori</x:v>
      </x:c>
      <x:c r="H6" s="12" t="str">
        <x:v>Run raro/breve</x:v>
      </x:c>
    </x:row>
    <x:row r="7">
      <x:c r="A7" s="12" t="str">
        <x:v>GPIO23</x:v>
      </x:c>
      <x:c r="B7" s="12" t="str">
        <x:v>16</x:v>
      </x:c>
      <x:c r="C7" s="12" t="str">
        <x:v>Sensore livello acqua</x:v>
      </x:c>
      <x:c r="D7" s="12" t="str">
        <x:v>Blocca pompe se serbatoio vuoto</x:v>
      </x:c>
      <x:c r="E7" s="24"/>
      <x:c r="F7" s="12" t="str">
        <x:v>Sicurezza</x:v>
      </x:c>
      <x:c r="G7" s="12" t="str">
        <x:v>Una pompa alla volta</x:v>
      </x:c>
      <x:c r="H7" s="12" t="str">
        <x:v>Pausa 30s tra pompe</x:v>
      </x:c>
    </x:row>
    <x:row r="8">
      <x:c r="A8" s="12" t="str">
        <x:v>-</x:v>
      </x:c>
      <x:c r="B8" s="12" t="str">
        <x:v>-</x:v>
      </x:c>
      <x:c r="C8" s="12" t="str">
        <x:v>Logica rele</x:v>
      </x:c>
      <x:c r="D8" s="12" t="str">
        <x:v>Active-low: GPIO basso = rele chiuso = pompa ON. Jumper VCC-JD-VCC rimosso</x:v>
      </x:c>
      <x:c r="E8" s="24"/>
      <x:c r="F8" s="12" t="str">
        <x:v>Taratura</x:v>
      </x:c>
      <x:c r="G8" s="12" t="str">
        <x:v>Misura ml/min in bottiglia graduata</x:v>
      </x:c>
      <x:c r="H8" s="12" t="str">
        <x:v>Poi imposta tempi</x:v>
      </x:c>
    </x:row>
    <x:row r="9">
      <x:c r="A9" s="12" t="str">
        <x:v>-</x:v>
      </x:c>
      <x:c r="B9" s="12" t="str">
        <x:v>-</x:v>
      </x:c>
      <x:c r="C9" s="12" t="str">
        <x:v>Alimentazione rele</x:v>
      </x:c>
      <x:c r="D9" s="12" t="str">
        <x:v>VCC opto da 3.3V Pi (pin 1); JD-VCC bobine dal Buck 2 dedicato (non dal Pi)</x:v>
      </x:c>
      <x:c r="E9" s="24"/>
      <x:c r="F9" s="24"/>
      <x:c r="G9" s="24"/>
      <x:c r="H9" s="24"/>
    </x:row>
    <x:row r="10">
      <x:c r="A10" s="12" t="str">
        <x:v>-</x:v>
      </x:c>
      <x:c r="B10" s="12" t="str">
        <x:v>-</x:v>
      </x:c>
      <x:c r="C10" s="12" t="str">
        <x:v>Alimentazione Pi</x:v>
      </x:c>
      <x:c r="D10" s="12" t="str">
        <x:v>Buck 1 dedicato al Pi 4 (5V/5A): testare sotto carico prima di collegare il Pi</x:v>
      </x:c>
      <x:c r="E10" s="24"/>
      <x:c r="F10" s="24"/>
      <x:c r="G10" s="24"/>
      <x:c r="H10" s="24"/>
    </x:row>
  </x:sheetData>
  <x:mergeCells>
    <x:mergeCell ref="A1:H1"/>
  </x:mergeCells>
  <x:pageMargins left="0.7" right="0.7" top="0.75" bottom="0.75" header="0.3" footer="0.3"/>
</x:worksheet>
</file>