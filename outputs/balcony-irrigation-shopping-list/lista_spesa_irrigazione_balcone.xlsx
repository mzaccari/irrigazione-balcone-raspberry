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hele\Documents\New project\outputs\balcony-irrigation-shopping-list\"/>
    </mc:Choice>
  </mc:AlternateContent>
  <xr:revisionPtr revIDLastSave="0" documentId="13_ncr:1_{03929926-79C5-4AF0-B498-9A7EC773912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Lista spesa" sheetId="1" r:id="rId1"/>
    <sheet name="Riepilogo" sheetId="2" r:id="rId2"/>
    <sheet name="Schema tecnic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3" i="2"/>
</calcChain>
</file>

<file path=xl/sharedStrings.xml><?xml version="1.0" encoding="utf-8"?>
<sst xmlns="http://schemas.openxmlformats.org/spreadsheetml/2006/main" count="252" uniqueCount="173">
  <si>
    <t>Irrigazione balcone - Lista della spesa</t>
  </si>
  <si>
    <t>Aggiorna la colonna Stato mentre acquisti. I prezzi stimati sono indicativi e modificabili.</t>
  </si>
  <si>
    <t>Categoria</t>
  </si>
  <si>
    <t>Priorita</t>
  </si>
  <si>
    <t>Q.ta</t>
  </si>
  <si>
    <t>Componente</t>
  </si>
  <si>
    <t>Modello / ricerca consigliata</t>
  </si>
  <si>
    <t>Dove trovarlo</t>
  </si>
  <si>
    <t>Stato</t>
  </si>
  <si>
    <t>Data acquisto</t>
  </si>
  <si>
    <t>Prezzo stimato cad.</t>
  </si>
  <si>
    <t>Prezzo reale cad.</t>
  </si>
  <si>
    <t>Note</t>
  </si>
  <si>
    <t>Controllo</t>
  </si>
  <si>
    <t>Alta</t>
  </si>
  <si>
    <t>Raspberry Pi Zero 2 WH</t>
  </si>
  <si>
    <t>Zero 2 W with headers / WH, Wi-Fi integrato</t>
  </si>
  <si>
    <t>Melopero, The Pi Hut, Welectron</t>
  </si>
  <si>
    <t>Da acquistare</t>
  </si>
  <si>
    <t>Versione con header gia saldati: niente saldature</t>
  </si>
  <si>
    <t>MicroSD high endurance</t>
  </si>
  <si>
    <t>SanDisk High Endurance 32/64 GB</t>
  </si>
  <si>
    <t>Amazon, MediaWorld, Unieuro</t>
  </si>
  <si>
    <t>Meglio endurance per uso sempre acceso</t>
  </si>
  <si>
    <t>Alimentazione</t>
  </si>
  <si>
    <t>Convertitore 12V -&gt; 5V</t>
  </si>
  <si>
    <t>Buck converter 12V a 5V USB, almeno 3A</t>
  </si>
  <si>
    <t>Amazon, negozi elettronica</t>
  </si>
  <si>
    <t>Alimenta il Raspberry dalla batteria 12V</t>
  </si>
  <si>
    <t>Pompe</t>
  </si>
  <si>
    <t>Pompa sommersa 12V</t>
  </si>
  <si>
    <t>Pompa 12V DC circa 600 L/h, prevalenza circa 5 m</t>
  </si>
  <si>
    <t>Leroy Merlin, ManoMano, Amazon</t>
  </si>
  <si>
    <t>Una per zona; verificare corrente assorbita</t>
  </si>
  <si>
    <t>Elettronica</t>
  </si>
  <si>
    <t>Driver MOSFET con morsetti</t>
  </si>
  <si>
    <t>Adafruit MOSFET Driver 5648 o modulo equivalente 3.3V con morsetti</t>
  </si>
  <si>
    <t>Robot Italy, Adafruit, DigiKey</t>
  </si>
  <si>
    <t>Preferibile al rele; zero saldature se con morsetti</t>
  </si>
  <si>
    <t>Batteria LiFePO4 12V</t>
  </si>
  <si>
    <t>12.8V 20Ah con BMS integrato</t>
  </si>
  <si>
    <t>Amazon: ECO-WORTHY, Renogy, Redodo, Kepworth</t>
  </si>
  <si>
    <t>20Ah consigliati per margine</t>
  </si>
  <si>
    <t>Solare</t>
  </si>
  <si>
    <t>Regolatore solare MPPT</t>
  </si>
  <si>
    <t>Victron SmartSolar MPPT 75/10 compatibile LiFePO4</t>
  </si>
  <si>
    <t>Moory, Toosolar, Amazon</t>
  </si>
  <si>
    <t>Piu affidabile dei PWM economici</t>
  </si>
  <si>
    <t>Pannello solare</t>
  </si>
  <si>
    <t>Pannello 12V 50W minimo, 100W consigliato</t>
  </si>
  <si>
    <t>FuturaNet, Amazon, Leroy Merlin</t>
  </si>
  <si>
    <t>100W se vuoi piu autonomia in giorni nuvolosi</t>
  </si>
  <si>
    <t>Idraulica</t>
  </si>
  <si>
    <t>Kit irrigazione balcone</t>
  </si>
  <si>
    <t>Claber Kit Terrazzo 90772 o Kit Drip 20 vasi 90764</t>
  </si>
  <si>
    <t>Claber, Leroy Merlin, Brico, ManoMano</t>
  </si>
  <si>
    <t>Da dividere in tre zone separate</t>
  </si>
  <si>
    <t>Valvola di non ritorno</t>
  </si>
  <si>
    <t>Valvola per tubo 6/8/10 mm secondo diametro pompa</t>
  </si>
  <si>
    <t>Amazon, negozi acquari, Leroy Merlin</t>
  </si>
  <si>
    <t>Una dopo ogni pompa</t>
  </si>
  <si>
    <t>Filtro in linea</t>
  </si>
  <si>
    <t>Filtro microirrigazione 120/150 mesh</t>
  </si>
  <si>
    <t>Amazon, agrarie, Leroy Merlin</t>
  </si>
  <si>
    <t>Riduce intasamento gocciolatori</t>
  </si>
  <si>
    <t>Serbatoio acqua</t>
  </si>
  <si>
    <t>60-100 L, opaco, con coperchio</t>
  </si>
  <si>
    <t>Leroy Merlin, Brico, agrarie</t>
  </si>
  <si>
    <t>Meglio in ombra e chiuso</t>
  </si>
  <si>
    <t>Protezione</t>
  </si>
  <si>
    <t>Scatola elettrica stagna</t>
  </si>
  <si>
    <t>Box IP65/IP66 circa 190x140x70 mm o piu grande</t>
  </si>
  <si>
    <t>Leroy Merlin, Amazon, elettricista</t>
  </si>
  <si>
    <t>Tenere in ombra o schermata dal sole diretto</t>
  </si>
  <si>
    <t>Set pressacavi</t>
  </si>
  <si>
    <t>Pressacavi IP68 M12/M16 assortiti</t>
  </si>
  <si>
    <t>Amazon, Leroy Merlin</t>
  </si>
  <si>
    <t>Per ingressi cavi nel box</t>
  </si>
  <si>
    <t>Cablaggio</t>
  </si>
  <si>
    <t>Morsetti Wago 221</t>
  </si>
  <si>
    <t>Set Wago 221 2/3/5 poli</t>
  </si>
  <si>
    <t>Amazon, elettricista</t>
  </si>
  <si>
    <t>Per evitare saldature</t>
  </si>
  <si>
    <t>Portafusibili 12V</t>
  </si>
  <si>
    <t>Portafusibili auto ATO/ATC impermeabili</t>
  </si>
  <si>
    <t>Amazon, autoricambi</t>
  </si>
  <si>
    <t>Generale + uno per ogni pompa + scorta</t>
  </si>
  <si>
    <t>Set fusibili</t>
  </si>
  <si>
    <t>Fusibili auto 2A/3A/5A/10A assortiti</t>
  </si>
  <si>
    <t>Dimensionare in base alle pompe reali</t>
  </si>
  <si>
    <t>Media</t>
  </si>
  <si>
    <t>Interruttore generale 12V</t>
  </si>
  <si>
    <t>Interruttore DC da quadro o impermeabile</t>
  </si>
  <si>
    <t>Per manutenzione rapida</t>
  </si>
  <si>
    <t>Sensori</t>
  </si>
  <si>
    <t>Sensore livello acqua</t>
  </si>
  <si>
    <t>Galleggiante serbatoio NO/NC</t>
  </si>
  <si>
    <t>Blocco anti-marcia a secco</t>
  </si>
  <si>
    <t>ADC ADS1115</t>
  </si>
  <si>
    <t>ADS1115 I2C 16 bit pre-soldered / STEMMA QT</t>
  </si>
  <si>
    <t>Adafruit, Amazon, Seeed, Robot Italy</t>
  </si>
  <si>
    <t>Serve per sensori analogici umidita</t>
  </si>
  <si>
    <t>Sensori umidita terreno</t>
  </si>
  <si>
    <t>DFRobot SEN0308 waterproof capacitivo o equivalente</t>
  </si>
  <si>
    <t>Farnell, DFRobot, Robot Italy</t>
  </si>
  <si>
    <t>Uno per zona all'inizio</t>
  </si>
  <si>
    <t>Bassa</t>
  </si>
  <si>
    <t>Sensore aria</t>
  </si>
  <si>
    <t>BME280 o SHT31 temperatura/umidita</t>
  </si>
  <si>
    <t>Amazon, Robot Italy, Melopero</t>
  </si>
  <si>
    <t>Utile per modalita estate/inverno</t>
  </si>
  <si>
    <t>Cavo elettrico pompe</t>
  </si>
  <si>
    <t>2x0.75 mm2 o 2x1 mm2</t>
  </si>
  <si>
    <t>Leroy Merlin, Brico, elettricista</t>
  </si>
  <si>
    <t>Usare sezioni maggiori per tratte lunghe</t>
  </si>
  <si>
    <t>Tubi e raccordi extra</t>
  </si>
  <si>
    <t>Microtubo 4/6 mm, tubo 8/10 mm, T, rubinetti, tappi</t>
  </si>
  <si>
    <t>Claber, Leroy Merlin, agrarie</t>
  </si>
  <si>
    <t>Serve sempre piu di quanto sembra</t>
  </si>
  <si>
    <t>Connettori impermeabili 2 pin</t>
  </si>
  <si>
    <t>Connettori IP67/IP68 a vite o pre-cablati</t>
  </si>
  <si>
    <t>Per staccare pompe e sensori senza aprire tutto</t>
  </si>
  <si>
    <t>Riepilogo acquisti</t>
  </si>
  <si>
    <t>Totale righe</t>
  </si>
  <si>
    <t>Cosa fare</t>
  </si>
  <si>
    <t>Nota</t>
  </si>
  <si>
    <t>Comprare prima</t>
  </si>
  <si>
    <t>Necessaria per impianto funzionante</t>
  </si>
  <si>
    <t>Ordinato</t>
  </si>
  <si>
    <t>Comprare dopo primo test</t>
  </si>
  <si>
    <t>Utile per robustezza e automazione</t>
  </si>
  <si>
    <t>Acquistato</t>
  </si>
  <si>
    <t>Opzionale</t>
  </si>
  <si>
    <t>Aggiunge comfort o dati</t>
  </si>
  <si>
    <t>Non serve</t>
  </si>
  <si>
    <t>Zero saldature</t>
  </si>
  <si>
    <t>Preferire morsetti</t>
  </si>
  <si>
    <t>Wago, morsetti a vite, connettori IP67</t>
  </si>
  <si>
    <t>Budget stimato</t>
  </si>
  <si>
    <t>Test iniziale</t>
  </si>
  <si>
    <t>Una pompa alla volta</t>
  </si>
  <si>
    <t>Misurare ml/min prima di automatizzare</t>
  </si>
  <si>
    <t>Schema tecnico rapido</t>
  </si>
  <si>
    <t>GPIO</t>
  </si>
  <si>
    <t>Pin fisico</t>
  </si>
  <si>
    <t>Funzione</t>
  </si>
  <si>
    <t>Linea</t>
  </si>
  <si>
    <t>Catena idraulica</t>
  </si>
  <si>
    <t>Regola</t>
  </si>
  <si>
    <t>GPIO17</t>
  </si>
  <si>
    <t>11</t>
  </si>
  <si>
    <t>Pompa 1</t>
  </si>
  <si>
    <t>Zona acqua alta: basilico, menta</t>
  </si>
  <si>
    <t>Pompa -&gt; valvola non ritorno -&gt; filtro -&gt; gocciolatori</t>
  </si>
  <si>
    <t>Run breve/frequente</t>
  </si>
  <si>
    <t>GPIO27</t>
  </si>
  <si>
    <t>13</t>
  </si>
  <si>
    <t>Pompa 2</t>
  </si>
  <si>
    <t>Zona media: lauro/alloro, ornamentali</t>
  </si>
  <si>
    <t>Run medio</t>
  </si>
  <si>
    <t>GPIO22</t>
  </si>
  <si>
    <t>15</t>
  </si>
  <si>
    <t>Pompa 3</t>
  </si>
  <si>
    <t>Zona secca: rosmarino, oleandro</t>
  </si>
  <si>
    <t>Run raro/breve</t>
  </si>
  <si>
    <t>GPIO23</t>
  </si>
  <si>
    <t>16</t>
  </si>
  <si>
    <t>Blocca pompe se serbatoio vuoto</t>
  </si>
  <si>
    <t>Sicurezza</t>
  </si>
  <si>
    <t>Pausa 30s tra pompe</t>
  </si>
  <si>
    <t>Taratura</t>
  </si>
  <si>
    <t>Misura ml/min in bottiglia graduata</t>
  </si>
  <si>
    <t>Poi imposta tempi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</si>
</sst>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.00"/>
    <numFmt numFmtId="165" formatCode="yyyy\-mm\-dd"/>
  </numFmts>
  <fonts count="8">
    <font>
      <sz val="11"/>
      <name val="Carlito"/>
    </font>
    <font>
      <b/>
      <sz val="16"/>
      <color rgb="FFFFFFFF"/>
      <name val="Carlito"/>
    </font>
    <font>
      <i/>
      <sz val="11"/>
      <color rgb="FF1F4E46"/>
      <name val="Carlito"/>
    </font>
    <font>
      <b/>
      <sz val="11"/>
      <color rgb="FFFFFFFF"/>
      <name val="Carlito"/>
    </font>
    <font>
      <b/>
      <sz val="10"/>
      <color rgb="FFFFFFFF"/>
      <name val="Aptos"/>
    </font>
    <font>
      <sz val="10"/>
      <name val="Aptos"/>
    </font>
    <font>
      <b/>
      <sz val="11"/>
      <color rgb="FF1F4E46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46"/>
      </patternFill>
    </fill>
    <fill>
      <patternFill patternType="solid">
        <fgColor rgb="FFE8F3EF"/>
      </patternFill>
    </fill>
    <fill>
      <patternFill patternType="solid">
        <fgColor rgb="FF2D6A5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4">
    <xf numFmtId="0" fontId="0" fillId="0" borderId="0" xfId="0"/>
    <xf numFmtId="0" fontId="0" fillId="0" borderId="0" xfId="1" applyFont="1" applyAlignment="1">
      <alignment vertical="top" wrapText="1"/>
    </xf>
    <xf numFmtId="0" fontId="0" fillId="0" borderId="0" xfId="1" applyFont="1" applyAlignment="1">
      <alignment horizontal="center" vertical="top" wrapText="1"/>
    </xf>
    <xf numFmtId="164" fontId="0" fillId="0" borderId="0" xfId="1" applyNumberFormat="1" applyFont="1" applyAlignment="1">
      <alignment vertical="top" wrapText="1"/>
    </xf>
    <xf numFmtId="165" fontId="0" fillId="0" borderId="0" xfId="1" applyNumberFormat="1" applyFont="1" applyAlignment="1">
      <alignment vertical="top" wrapText="1"/>
    </xf>
    <xf numFmtId="0" fontId="0" fillId="0" borderId="0" xfId="1" applyFont="1" applyAlignment="1">
      <alignment vertical="top"/>
    </xf>
    <xf numFmtId="0" fontId="3" fillId="4" borderId="0" xfId="1" applyFont="1" applyFill="1" applyAlignment="1">
      <alignment horizontal="center" vertical="top" wrapText="1"/>
    </xf>
    <xf numFmtId="0" fontId="6" fillId="3" borderId="0" xfId="1" applyFont="1" applyFill="1" applyAlignment="1">
      <alignment vertical="top" wrapText="1"/>
    </xf>
    <xf numFmtId="0" fontId="3" fillId="4" borderId="0" xfId="1" applyFont="1" applyFill="1" applyAlignment="1">
      <alignment vertical="top"/>
    </xf>
    <xf numFmtId="0" fontId="4" fillId="2" borderId="0" xfId="1" applyFont="1" applyFill="1" applyAlignment="1">
      <alignment horizontal="center" vertical="top"/>
    </xf>
    <xf numFmtId="0" fontId="5" fillId="0" borderId="0" xfId="1" applyFont="1" applyAlignment="1">
      <alignment vertical="top"/>
    </xf>
    <xf numFmtId="0" fontId="2" fillId="3" borderId="0" xfId="1" applyFont="1" applyFill="1" applyAlignment="1">
      <alignment horizontal="center" vertical="top"/>
    </xf>
    <xf numFmtId="0" fontId="0" fillId="0" borderId="0" xfId="1" applyFont="1" applyAlignment="1">
      <alignment vertical="top"/>
    </xf>
    <xf numFmtId="0" fontId="1" fillId="2" borderId="0" xfId="1" applyFont="1" applyFill="1" applyAlignment="1">
      <alignment horizontal="center" vertical="top"/>
    </xf>
  </cellXfs>
  <cellStyles count="2">
    <cellStyle name="Normal" xfId="1" xr:uid="{00000000-0005-0000-0000-000000000000}"/>
    <cellStyle name="Normale" xfId="0" builtinId="0"/>
  </cellStyles>
  <dxfs count="3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2F00"/>
      </font>
      <fill>
        <patternFill patternType="solid">
          <bgColor rgb="FFFCE4D6"/>
        </patternFill>
      </fill>
    </dxf>
    <dxf>
      <font>
        <b/>
        <color rgb="FF1B5E20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hoppingList" displayName="ShoppingList" ref="A4:K29">
  <tableColumns count="11">
    <tableColumn id="1" xr3:uid="{00000000-0010-0000-0000-000001000000}" name="Categoria"/>
    <tableColumn id="2" xr3:uid="{00000000-0010-0000-0000-000002000000}" name="Priorita"/>
    <tableColumn id="3" xr3:uid="{00000000-0010-0000-0000-000003000000}" name="Q.ta"/>
    <tableColumn id="4" xr3:uid="{00000000-0010-0000-0000-000004000000}" name="Componente"/>
    <tableColumn id="5" xr3:uid="{00000000-0010-0000-0000-000005000000}" name="Modello / ricerca consigliata"/>
    <tableColumn id="6" xr3:uid="{00000000-0010-0000-0000-000006000000}" name="Dove trovarlo"/>
    <tableColumn id="7" xr3:uid="{00000000-0010-0000-0000-000007000000}" name="Stato"/>
    <tableColumn id="8" xr3:uid="{00000000-0010-0000-0000-000008000000}" name="Data acquisto"/>
    <tableColumn id="9" xr3:uid="{00000000-0010-0000-0000-000009000000}" name="Prezzo stimato cad."/>
    <tableColumn id="10" xr3:uid="{00000000-0010-0000-0000-00000A000000}" name="Prezzo reale cad."/>
    <tableColumn id="11" xr3:uid="{00000000-0010-0000-0000-00000B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showGridLines="0" tabSelected="1" workbookViewId="0">
      <selection activeCell="D17" sqref="D17"/>
    </sheetView>
  </sheetViews>
  <sheetFormatPr defaultRowHeight="14.25"/>
  <cols>
    <col min="1" max="1" width="14.75" customWidth="1"/>
    <col min="2" max="2" width="10.125" customWidth="1"/>
    <col min="3" max="3" width="6.75" customWidth="1"/>
    <col min="4" max="4" width="24.875" customWidth="1"/>
    <col min="5" max="5" width="35.625" customWidth="1"/>
    <col min="6" max="6" width="30.25" customWidth="1"/>
    <col min="7" max="7" width="14.75" customWidth="1"/>
    <col min="8" max="8" width="13.5" customWidth="1"/>
    <col min="9" max="10" width="14.75" customWidth="1"/>
    <col min="11" max="11" width="39.75" customWidth="1"/>
  </cols>
  <sheetData>
    <row r="1" spans="1:11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>
      <c r="A2" s="11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3" spans="1:11">
      <c r="A3" s="5"/>
      <c r="B3" s="5"/>
      <c r="C3" s="5"/>
      <c r="D3" s="5"/>
      <c r="E3" s="5"/>
      <c r="F3" s="5"/>
      <c r="G3" s="5"/>
      <c r="H3" s="5"/>
      <c r="I3" s="5"/>
      <c r="J3" s="5"/>
      <c r="K3" s="5"/>
    </row>
    <row r="4" spans="1:11" ht="30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</row>
    <row r="5" spans="1:11" ht="28.5">
      <c r="A5" s="1" t="s">
        <v>13</v>
      </c>
      <c r="B5" s="1" t="s">
        <v>14</v>
      </c>
      <c r="C5" s="2">
        <v>1</v>
      </c>
      <c r="D5" s="1" t="s">
        <v>15</v>
      </c>
      <c r="E5" s="1" t="s">
        <v>16</v>
      </c>
      <c r="F5" s="1" t="s">
        <v>17</v>
      </c>
      <c r="G5" s="1" t="s">
        <v>128</v>
      </c>
      <c r="H5" s="4"/>
      <c r="I5" s="3">
        <v>39</v>
      </c>
      <c r="J5" s="3"/>
      <c r="K5" s="1" t="s">
        <v>19</v>
      </c>
    </row>
    <row r="6" spans="1:11">
      <c r="A6" s="1" t="s">
        <v>13</v>
      </c>
      <c r="B6" s="1" t="s">
        <v>14</v>
      </c>
      <c r="C6" s="2">
        <v>1</v>
      </c>
      <c r="D6" s="1" t="s">
        <v>20</v>
      </c>
      <c r="E6" s="1" t="s">
        <v>21</v>
      </c>
      <c r="F6" s="1" t="s">
        <v>22</v>
      </c>
      <c r="G6" s="1" t="s">
        <v>128</v>
      </c>
      <c r="H6" s="4"/>
      <c r="I6" s="3">
        <v>15</v>
      </c>
      <c r="J6" s="3"/>
      <c r="K6" s="1" t="s">
        <v>23</v>
      </c>
    </row>
    <row r="7" spans="1:11">
      <c r="A7" s="1" t="s">
        <v>24</v>
      </c>
      <c r="B7" s="1" t="s">
        <v>14</v>
      </c>
      <c r="C7" s="2">
        <v>1</v>
      </c>
      <c r="D7" s="1" t="s">
        <v>25</v>
      </c>
      <c r="E7" s="1" t="s">
        <v>26</v>
      </c>
      <c r="F7" s="1" t="s">
        <v>27</v>
      </c>
      <c r="G7" s="1" t="s">
        <v>128</v>
      </c>
      <c r="H7" s="4"/>
      <c r="I7" s="3">
        <v>4.3099999999999996</v>
      </c>
      <c r="J7" s="3"/>
      <c r="K7" s="1" t="s">
        <v>28</v>
      </c>
    </row>
    <row r="8" spans="1:11" ht="28.5">
      <c r="A8" s="1" t="s">
        <v>29</v>
      </c>
      <c r="B8" s="1" t="s">
        <v>14</v>
      </c>
      <c r="C8" s="2">
        <v>3</v>
      </c>
      <c r="D8" s="1" t="s">
        <v>30</v>
      </c>
      <c r="E8" s="1" t="s">
        <v>31</v>
      </c>
      <c r="F8" s="1" t="s">
        <v>32</v>
      </c>
      <c r="G8" s="1" t="s">
        <v>128</v>
      </c>
      <c r="H8" s="4"/>
      <c r="I8" s="3">
        <v>6.35</v>
      </c>
      <c r="J8" s="3"/>
      <c r="K8" s="1" t="s">
        <v>33</v>
      </c>
    </row>
    <row r="9" spans="1:11" ht="28.5">
      <c r="A9" s="1" t="s">
        <v>34</v>
      </c>
      <c r="B9" s="1" t="s">
        <v>14</v>
      </c>
      <c r="C9" s="2">
        <v>3</v>
      </c>
      <c r="D9" s="1" t="s">
        <v>35</v>
      </c>
      <c r="E9" s="1" t="s">
        <v>36</v>
      </c>
      <c r="F9" s="1" t="s">
        <v>37</v>
      </c>
      <c r="G9" s="1" t="s">
        <v>128</v>
      </c>
      <c r="H9" s="4"/>
      <c r="I9" s="3">
        <v>5.78</v>
      </c>
      <c r="J9" s="3"/>
      <c r="K9" s="1" t="s">
        <v>38</v>
      </c>
    </row>
    <row r="10" spans="1:11" ht="28.5">
      <c r="A10" s="1" t="s">
        <v>24</v>
      </c>
      <c r="B10" s="1" t="s">
        <v>14</v>
      </c>
      <c r="C10" s="2">
        <v>1</v>
      </c>
      <c r="D10" s="1" t="s">
        <v>39</v>
      </c>
      <c r="E10" s="1" t="s">
        <v>40</v>
      </c>
      <c r="F10" s="1" t="s">
        <v>41</v>
      </c>
      <c r="G10" s="1" t="s">
        <v>128</v>
      </c>
      <c r="H10" s="4"/>
      <c r="I10" s="3">
        <v>58.69</v>
      </c>
      <c r="J10" s="3"/>
      <c r="K10" s="1" t="s">
        <v>42</v>
      </c>
    </row>
    <row r="11" spans="1:11" ht="28.5">
      <c r="A11" s="1" t="s">
        <v>43</v>
      </c>
      <c r="B11" s="1" t="s">
        <v>14</v>
      </c>
      <c r="C11" s="2">
        <v>1</v>
      </c>
      <c r="D11" s="1" t="s">
        <v>44</v>
      </c>
      <c r="E11" s="1" t="s">
        <v>45</v>
      </c>
      <c r="F11" s="1" t="s">
        <v>46</v>
      </c>
      <c r="G11" s="1" t="s">
        <v>128</v>
      </c>
      <c r="H11" s="4"/>
      <c r="I11" s="3">
        <v>61.9</v>
      </c>
      <c r="J11" s="3"/>
      <c r="K11" s="1" t="s">
        <v>47</v>
      </c>
    </row>
    <row r="12" spans="1:11" ht="28.5">
      <c r="A12" s="1" t="s">
        <v>43</v>
      </c>
      <c r="B12" s="1" t="s">
        <v>14</v>
      </c>
      <c r="C12" s="2">
        <v>1</v>
      </c>
      <c r="D12" s="1" t="s">
        <v>48</v>
      </c>
      <c r="E12" s="1" t="s">
        <v>49</v>
      </c>
      <c r="F12" s="1" t="s">
        <v>50</v>
      </c>
      <c r="G12" s="1" t="s">
        <v>128</v>
      </c>
      <c r="H12" s="4"/>
      <c r="I12" s="3">
        <v>65</v>
      </c>
      <c r="J12" s="3"/>
      <c r="K12" s="1" t="s">
        <v>51</v>
      </c>
    </row>
    <row r="13" spans="1:11" ht="28.5">
      <c r="A13" s="1" t="s">
        <v>52</v>
      </c>
      <c r="B13" s="1" t="s">
        <v>14</v>
      </c>
      <c r="C13" s="2">
        <v>1</v>
      </c>
      <c r="D13" s="1" t="s">
        <v>53</v>
      </c>
      <c r="E13" s="1" t="s">
        <v>54</v>
      </c>
      <c r="F13" s="1" t="s">
        <v>55</v>
      </c>
      <c r="G13" s="1" t="s">
        <v>18</v>
      </c>
      <c r="H13" s="4"/>
      <c r="I13" s="3">
        <v>55</v>
      </c>
      <c r="J13" s="3"/>
      <c r="K13" s="1" t="s">
        <v>56</v>
      </c>
    </row>
    <row r="14" spans="1:11" ht="28.5">
      <c r="A14" s="1" t="s">
        <v>52</v>
      </c>
      <c r="B14" s="1" t="s">
        <v>14</v>
      </c>
      <c r="C14" s="2">
        <v>3</v>
      </c>
      <c r="D14" s="1" t="s">
        <v>57</v>
      </c>
      <c r="E14" s="1" t="s">
        <v>58</v>
      </c>
      <c r="F14" s="1" t="s">
        <v>59</v>
      </c>
      <c r="G14" s="1" t="s">
        <v>18</v>
      </c>
      <c r="H14" s="4"/>
      <c r="I14" s="3">
        <v>3</v>
      </c>
      <c r="J14" s="3"/>
      <c r="K14" s="1" t="s">
        <v>60</v>
      </c>
    </row>
    <row r="15" spans="1:11">
      <c r="A15" s="1" t="s">
        <v>52</v>
      </c>
      <c r="B15" s="1" t="s">
        <v>14</v>
      </c>
      <c r="C15" s="2">
        <v>3</v>
      </c>
      <c r="D15" s="1" t="s">
        <v>61</v>
      </c>
      <c r="E15" s="1" t="s">
        <v>62</v>
      </c>
      <c r="F15" s="1" t="s">
        <v>63</v>
      </c>
      <c r="G15" s="1" t="s">
        <v>18</v>
      </c>
      <c r="H15" s="4"/>
      <c r="I15" s="3">
        <v>5</v>
      </c>
      <c r="J15" s="3"/>
      <c r="K15" s="1" t="s">
        <v>64</v>
      </c>
    </row>
    <row r="16" spans="1:11">
      <c r="A16" s="1" t="s">
        <v>52</v>
      </c>
      <c r="B16" s="1" t="s">
        <v>14</v>
      </c>
      <c r="C16" s="2">
        <v>1</v>
      </c>
      <c r="D16" s="1" t="s">
        <v>65</v>
      </c>
      <c r="E16" s="1" t="s">
        <v>66</v>
      </c>
      <c r="F16" s="1" t="s">
        <v>67</v>
      </c>
      <c r="G16" s="1" t="s">
        <v>18</v>
      </c>
      <c r="H16" s="4"/>
      <c r="I16" s="3">
        <v>35</v>
      </c>
      <c r="J16" s="3"/>
      <c r="K16" s="1" t="s">
        <v>68</v>
      </c>
    </row>
    <row r="17" spans="1:11" ht="28.5">
      <c r="A17" s="1" t="s">
        <v>69</v>
      </c>
      <c r="B17" s="1" t="s">
        <v>14</v>
      </c>
      <c r="C17" s="2">
        <v>1</v>
      </c>
      <c r="D17" s="1" t="s">
        <v>70</v>
      </c>
      <c r="E17" s="1" t="s">
        <v>71</v>
      </c>
      <c r="F17" s="1" t="s">
        <v>72</v>
      </c>
      <c r="G17" s="1" t="s">
        <v>18</v>
      </c>
      <c r="H17" s="4"/>
      <c r="I17" s="3">
        <v>15</v>
      </c>
      <c r="J17" s="3"/>
      <c r="K17" s="1" t="s">
        <v>73</v>
      </c>
    </row>
    <row r="18" spans="1:11">
      <c r="A18" s="1" t="s">
        <v>69</v>
      </c>
      <c r="B18" s="1" t="s">
        <v>14</v>
      </c>
      <c r="C18" s="2">
        <v>1</v>
      </c>
      <c r="D18" s="1" t="s">
        <v>74</v>
      </c>
      <c r="E18" s="1" t="s">
        <v>75</v>
      </c>
      <c r="F18" s="1" t="s">
        <v>76</v>
      </c>
      <c r="G18" s="1" t="s">
        <v>18</v>
      </c>
      <c r="H18" s="4"/>
      <c r="I18" s="3">
        <v>10</v>
      </c>
      <c r="J18" s="3"/>
      <c r="K18" s="1" t="s">
        <v>77</v>
      </c>
    </row>
    <row r="19" spans="1:11">
      <c r="A19" s="1" t="s">
        <v>78</v>
      </c>
      <c r="B19" s="1" t="s">
        <v>14</v>
      </c>
      <c r="C19" s="2">
        <v>1</v>
      </c>
      <c r="D19" s="1" t="s">
        <v>79</v>
      </c>
      <c r="E19" s="1" t="s">
        <v>80</v>
      </c>
      <c r="F19" s="1" t="s">
        <v>81</v>
      </c>
      <c r="G19" s="1" t="s">
        <v>18</v>
      </c>
      <c r="H19" s="4"/>
      <c r="I19" s="3">
        <v>15</v>
      </c>
      <c r="J19" s="3"/>
      <c r="K19" s="1" t="s">
        <v>82</v>
      </c>
    </row>
    <row r="20" spans="1:11">
      <c r="A20" s="1" t="s">
        <v>78</v>
      </c>
      <c r="B20" s="1" t="s">
        <v>14</v>
      </c>
      <c r="C20" s="2">
        <v>5</v>
      </c>
      <c r="D20" s="1" t="s">
        <v>83</v>
      </c>
      <c r="E20" s="1" t="s">
        <v>84</v>
      </c>
      <c r="F20" s="1" t="s">
        <v>85</v>
      </c>
      <c r="G20" s="1" t="s">
        <v>18</v>
      </c>
      <c r="H20" s="4"/>
      <c r="I20" s="3">
        <v>2</v>
      </c>
      <c r="J20" s="3"/>
      <c r="K20" s="1" t="s">
        <v>86</v>
      </c>
    </row>
    <row r="21" spans="1:11">
      <c r="A21" s="1" t="s">
        <v>78</v>
      </c>
      <c r="B21" s="1" t="s">
        <v>14</v>
      </c>
      <c r="C21" s="2">
        <v>1</v>
      </c>
      <c r="D21" s="1" t="s">
        <v>87</v>
      </c>
      <c r="E21" s="1" t="s">
        <v>88</v>
      </c>
      <c r="F21" s="1" t="s">
        <v>85</v>
      </c>
      <c r="G21" s="1" t="s">
        <v>18</v>
      </c>
      <c r="H21" s="4"/>
      <c r="I21" s="3">
        <v>8</v>
      </c>
      <c r="J21" s="3"/>
      <c r="K21" s="1" t="s">
        <v>89</v>
      </c>
    </row>
    <row r="22" spans="1:11">
      <c r="A22" s="1" t="s">
        <v>78</v>
      </c>
      <c r="B22" s="1" t="s">
        <v>90</v>
      </c>
      <c r="C22" s="2">
        <v>1</v>
      </c>
      <c r="D22" s="1" t="s">
        <v>91</v>
      </c>
      <c r="E22" s="1" t="s">
        <v>92</v>
      </c>
      <c r="F22" s="1" t="s">
        <v>81</v>
      </c>
      <c r="G22" s="1" t="s">
        <v>18</v>
      </c>
      <c r="H22" s="4"/>
      <c r="I22" s="3">
        <v>8</v>
      </c>
      <c r="J22" s="3"/>
      <c r="K22" s="1" t="s">
        <v>93</v>
      </c>
    </row>
    <row r="23" spans="1:11">
      <c r="A23" s="1" t="s">
        <v>94</v>
      </c>
      <c r="B23" s="1" t="s">
        <v>14</v>
      </c>
      <c r="C23" s="2">
        <v>1</v>
      </c>
      <c r="D23" s="1" t="s">
        <v>95</v>
      </c>
      <c r="E23" s="1" t="s">
        <v>96</v>
      </c>
      <c r="F23" s="1" t="s">
        <v>27</v>
      </c>
      <c r="G23" s="1" t="s">
        <v>18</v>
      </c>
      <c r="H23" s="4"/>
      <c r="I23" s="3">
        <v>7</v>
      </c>
      <c r="J23" s="3"/>
      <c r="K23" s="1" t="s">
        <v>97</v>
      </c>
    </row>
    <row r="24" spans="1:11" ht="28.5">
      <c r="A24" s="1" t="s">
        <v>94</v>
      </c>
      <c r="B24" s="1" t="s">
        <v>90</v>
      </c>
      <c r="C24" s="2">
        <v>1</v>
      </c>
      <c r="D24" s="1" t="s">
        <v>98</v>
      </c>
      <c r="E24" s="1" t="s">
        <v>99</v>
      </c>
      <c r="F24" s="1" t="s">
        <v>100</v>
      </c>
      <c r="G24" s="1" t="s">
        <v>18</v>
      </c>
      <c r="H24" s="4"/>
      <c r="I24" s="3">
        <v>12</v>
      </c>
      <c r="J24" s="3"/>
      <c r="K24" s="1" t="s">
        <v>101</v>
      </c>
    </row>
    <row r="25" spans="1:11" ht="28.5">
      <c r="A25" s="1" t="s">
        <v>94</v>
      </c>
      <c r="B25" s="1" t="s">
        <v>90</v>
      </c>
      <c r="C25" s="2">
        <v>3</v>
      </c>
      <c r="D25" s="1" t="s">
        <v>102</v>
      </c>
      <c r="E25" s="1" t="s">
        <v>103</v>
      </c>
      <c r="F25" s="1" t="s">
        <v>104</v>
      </c>
      <c r="G25" s="1" t="s">
        <v>18</v>
      </c>
      <c r="H25" s="4"/>
      <c r="I25" s="3">
        <v>12</v>
      </c>
      <c r="J25" s="3"/>
      <c r="K25" s="1" t="s">
        <v>105</v>
      </c>
    </row>
    <row r="26" spans="1:11">
      <c r="A26" s="1" t="s">
        <v>94</v>
      </c>
      <c r="B26" s="1" t="s">
        <v>106</v>
      </c>
      <c r="C26" s="2">
        <v>1</v>
      </c>
      <c r="D26" s="1" t="s">
        <v>107</v>
      </c>
      <c r="E26" s="1" t="s">
        <v>108</v>
      </c>
      <c r="F26" s="1" t="s">
        <v>109</v>
      </c>
      <c r="G26" s="1" t="s">
        <v>18</v>
      </c>
      <c r="H26" s="4"/>
      <c r="I26" s="3">
        <v>8</v>
      </c>
      <c r="J26" s="3"/>
      <c r="K26" s="1" t="s">
        <v>110</v>
      </c>
    </row>
    <row r="27" spans="1:11">
      <c r="A27" s="1" t="s">
        <v>78</v>
      </c>
      <c r="B27" s="1" t="s">
        <v>90</v>
      </c>
      <c r="C27" s="2">
        <v>1</v>
      </c>
      <c r="D27" s="1" t="s">
        <v>111</v>
      </c>
      <c r="E27" s="1" t="s">
        <v>112</v>
      </c>
      <c r="F27" s="1" t="s">
        <v>113</v>
      </c>
      <c r="G27" s="1" t="s">
        <v>18</v>
      </c>
      <c r="H27" s="4"/>
      <c r="I27" s="3">
        <v>20</v>
      </c>
      <c r="J27" s="3"/>
      <c r="K27" s="1" t="s">
        <v>114</v>
      </c>
    </row>
    <row r="28" spans="1:11" ht="28.5">
      <c r="A28" s="1" t="s">
        <v>52</v>
      </c>
      <c r="B28" s="1" t="s">
        <v>90</v>
      </c>
      <c r="C28" s="2">
        <v>1</v>
      </c>
      <c r="D28" s="1" t="s">
        <v>115</v>
      </c>
      <c r="E28" s="1" t="s">
        <v>116</v>
      </c>
      <c r="F28" s="1" t="s">
        <v>117</v>
      </c>
      <c r="G28" s="1" t="s">
        <v>18</v>
      </c>
      <c r="H28" s="4"/>
      <c r="I28" s="3">
        <v>25</v>
      </c>
      <c r="J28" s="3"/>
      <c r="K28" s="1" t="s">
        <v>118</v>
      </c>
    </row>
    <row r="29" spans="1:11" ht="28.5">
      <c r="A29" s="1" t="s">
        <v>78</v>
      </c>
      <c r="B29" s="1" t="s">
        <v>90</v>
      </c>
      <c r="C29" s="2">
        <v>6</v>
      </c>
      <c r="D29" s="1" t="s">
        <v>119</v>
      </c>
      <c r="E29" s="1" t="s">
        <v>120</v>
      </c>
      <c r="F29" s="1" t="s">
        <v>27</v>
      </c>
      <c r="G29" s="1" t="s">
        <v>18</v>
      </c>
      <c r="H29" s="4"/>
      <c r="I29" s="3">
        <v>3</v>
      </c>
      <c r="J29" s="3"/>
      <c r="K29" s="1" t="s">
        <v>121</v>
      </c>
    </row>
  </sheetData>
  <mergeCells count="2">
    <mergeCell ref="A1:K1"/>
    <mergeCell ref="A2:K2"/>
  </mergeCells>
  <conditionalFormatting sqref="G5:G29">
    <cfRule type="containsText" dxfId="2" priority="1" operator="containsText" text="Acquistato"/>
    <cfRule type="containsText" dxfId="1" priority="2" operator="containsText" text="Da acquistare"/>
    <cfRule type="containsText" dxfId="0" priority="3" operator="containsText" text="Ordinato"/>
  </conditionalFormatting>
  <dataValidations count="2">
    <dataValidation type="list" sqref="G5:G29" xr:uid="{00000000-0002-0000-0000-000000000000}">
      <formula1>"Da acquistare,Ordinato,Acquistato,Non serve"</formula1>
    </dataValidation>
    <dataValidation type="list" sqref="B5:B29" xr:uid="{00000000-0002-0000-0000-000001000000}">
      <formula1>"Alta,Media,Bassa"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showGridLines="0" workbookViewId="0">
      <selection sqref="A1:F1"/>
    </sheetView>
  </sheetViews>
  <sheetFormatPr defaultRowHeight="14.25"/>
  <cols>
    <col min="1" max="1" width="23.5" customWidth="1"/>
    <col min="2" max="2" width="18.125" customWidth="1"/>
    <col min="4" max="6" width="24.875" customWidth="1"/>
  </cols>
  <sheetData>
    <row r="1" spans="1:6" ht="20.25">
      <c r="A1" s="13" t="s">
        <v>122</v>
      </c>
      <c r="B1" s="12"/>
      <c r="C1" s="12"/>
      <c r="D1" s="12"/>
      <c r="E1" s="12"/>
      <c r="F1" s="12"/>
    </row>
    <row r="2" spans="1:6">
      <c r="A2" s="5"/>
      <c r="B2" s="5"/>
      <c r="C2" s="5"/>
      <c r="D2" s="5"/>
      <c r="E2" s="5"/>
      <c r="F2" s="5"/>
    </row>
    <row r="3" spans="1:6" ht="15">
      <c r="A3" s="7" t="s">
        <v>123</v>
      </c>
      <c r="B3" s="1">
        <f>COUNTA('Lista spesa'!D5:D29)</f>
        <v>25</v>
      </c>
      <c r="C3" s="5"/>
      <c r="D3" s="8" t="s">
        <v>3</v>
      </c>
      <c r="E3" s="8" t="s">
        <v>124</v>
      </c>
      <c r="F3" s="8" t="s">
        <v>125</v>
      </c>
    </row>
    <row r="4" spans="1:6" ht="28.5">
      <c r="A4" s="7" t="s">
        <v>18</v>
      </c>
      <c r="B4" s="1">
        <f>COUNTIF('Lista spesa'!G5:G29,"Da acquistare")</f>
        <v>17</v>
      </c>
      <c r="C4" s="5"/>
      <c r="D4" s="1" t="s">
        <v>14</v>
      </c>
      <c r="E4" s="1" t="s">
        <v>126</v>
      </c>
      <c r="F4" s="1" t="s">
        <v>127</v>
      </c>
    </row>
    <row r="5" spans="1:6" ht="28.5">
      <c r="A5" s="7" t="s">
        <v>128</v>
      </c>
      <c r="B5" s="1">
        <f>COUNTIF('Lista spesa'!G5:G29,"Ordinato")</f>
        <v>8</v>
      </c>
      <c r="C5" s="5"/>
      <c r="D5" s="1" t="s">
        <v>90</v>
      </c>
      <c r="E5" s="1" t="s">
        <v>129</v>
      </c>
      <c r="F5" s="1" t="s">
        <v>130</v>
      </c>
    </row>
    <row r="6" spans="1:6" ht="15">
      <c r="A6" s="7" t="s">
        <v>131</v>
      </c>
      <c r="B6" s="1">
        <f>COUNTIF('Lista spesa'!G5:G29,"Acquistato")</f>
        <v>0</v>
      </c>
      <c r="C6" s="5"/>
      <c r="D6" s="1" t="s">
        <v>106</v>
      </c>
      <c r="E6" s="1" t="s">
        <v>132</v>
      </c>
      <c r="F6" s="1" t="s">
        <v>133</v>
      </c>
    </row>
    <row r="7" spans="1:6" ht="28.5">
      <c r="A7" s="7" t="s">
        <v>134</v>
      </c>
      <c r="B7" s="1">
        <f>COUNTIF('Lista spesa'!G5:G29,"Non serve")</f>
        <v>0</v>
      </c>
      <c r="C7" s="5"/>
      <c r="D7" s="1" t="s">
        <v>135</v>
      </c>
      <c r="E7" s="1" t="s">
        <v>136</v>
      </c>
      <c r="F7" s="1" t="s">
        <v>137</v>
      </c>
    </row>
    <row r="8" spans="1:6" ht="28.5">
      <c r="A8" s="7" t="s">
        <v>138</v>
      </c>
      <c r="B8" s="3">
        <f>SUMPRODUCT('Lista spesa'!C5:C29,'Lista spesa'!I5:I29)</f>
        <v>586.29</v>
      </c>
      <c r="C8" s="5"/>
      <c r="D8" s="1" t="s">
        <v>139</v>
      </c>
      <c r="E8" s="1" t="s">
        <v>140</v>
      </c>
      <c r="F8" s="1" t="s">
        <v>141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showGridLines="0" workbookViewId="0">
      <selection sqref="A1:H1"/>
    </sheetView>
  </sheetViews>
  <sheetFormatPr defaultRowHeight="14.25"/>
  <cols>
    <col min="1" max="1" width="11.5" customWidth="1"/>
    <col min="2" max="2" width="10.75" customWidth="1"/>
    <col min="3" max="3" width="24.875" customWidth="1"/>
    <col min="4" max="4" width="35.625" customWidth="1"/>
    <col min="6" max="6" width="12.125" customWidth="1"/>
    <col min="7" max="7" width="43.75" customWidth="1"/>
    <col min="8" max="8" width="23.5" customWidth="1"/>
  </cols>
  <sheetData>
    <row r="1" spans="1:8">
      <c r="A1" s="9" t="s">
        <v>142</v>
      </c>
      <c r="B1" s="10"/>
      <c r="C1" s="10"/>
      <c r="D1" s="10"/>
      <c r="E1" s="10"/>
      <c r="F1" s="10"/>
      <c r="G1" s="10"/>
      <c r="H1" s="10"/>
    </row>
    <row r="2" spans="1:8">
      <c r="A2" s="5"/>
      <c r="B2" s="5"/>
      <c r="C2" s="5"/>
      <c r="D2" s="5"/>
      <c r="E2" s="5"/>
      <c r="F2" s="5"/>
      <c r="G2" s="5"/>
      <c r="H2" s="5"/>
    </row>
    <row r="3" spans="1:8" ht="15">
      <c r="A3" s="8" t="s">
        <v>143</v>
      </c>
      <c r="B3" s="8" t="s">
        <v>144</v>
      </c>
      <c r="C3" s="8" t="s">
        <v>145</v>
      </c>
      <c r="D3" s="8" t="s">
        <v>125</v>
      </c>
      <c r="E3" s="5"/>
      <c r="F3" s="8" t="s">
        <v>146</v>
      </c>
      <c r="G3" s="8" t="s">
        <v>147</v>
      </c>
      <c r="H3" s="8" t="s">
        <v>148</v>
      </c>
    </row>
    <row r="4" spans="1:8">
      <c r="A4" s="1" t="s">
        <v>149</v>
      </c>
      <c r="B4" s="1" t="s">
        <v>150</v>
      </c>
      <c r="C4" s="1" t="s">
        <v>151</v>
      </c>
      <c r="D4" s="1" t="s">
        <v>152</v>
      </c>
      <c r="E4" s="5"/>
      <c r="F4" s="1" t="s">
        <v>151</v>
      </c>
      <c r="G4" s="1" t="s">
        <v>153</v>
      </c>
      <c r="H4" s="1" t="s">
        <v>154</v>
      </c>
    </row>
    <row r="5" spans="1:8">
      <c r="A5" s="1" t="s">
        <v>155</v>
      </c>
      <c r="B5" s="1" t="s">
        <v>156</v>
      </c>
      <c r="C5" s="1" t="s">
        <v>157</v>
      </c>
      <c r="D5" s="1" t="s">
        <v>158</v>
      </c>
      <c r="E5" s="5"/>
      <c r="F5" s="1" t="s">
        <v>157</v>
      </c>
      <c r="G5" s="1" t="s">
        <v>153</v>
      </c>
      <c r="H5" s="1" t="s">
        <v>159</v>
      </c>
    </row>
    <row r="6" spans="1:8">
      <c r="A6" s="1" t="s">
        <v>160</v>
      </c>
      <c r="B6" s="1" t="s">
        <v>161</v>
      </c>
      <c r="C6" s="1" t="s">
        <v>162</v>
      </c>
      <c r="D6" s="1" t="s">
        <v>163</v>
      </c>
      <c r="E6" s="5"/>
      <c r="F6" s="1" t="s">
        <v>162</v>
      </c>
      <c r="G6" s="1" t="s">
        <v>153</v>
      </c>
      <c r="H6" s="1" t="s">
        <v>164</v>
      </c>
    </row>
    <row r="7" spans="1:8">
      <c r="A7" s="1" t="s">
        <v>165</v>
      </c>
      <c r="B7" s="1" t="s">
        <v>166</v>
      </c>
      <c r="C7" s="1" t="s">
        <v>95</v>
      </c>
      <c r="D7" s="1" t="s">
        <v>167</v>
      </c>
      <c r="E7" s="5"/>
      <c r="F7" s="1" t="s">
        <v>168</v>
      </c>
      <c r="G7" s="1" t="s">
        <v>140</v>
      </c>
      <c r="H7" s="1" t="s">
        <v>169</v>
      </c>
    </row>
    <row r="8" spans="1:8">
      <c r="A8" s="5"/>
      <c r="B8" s="5"/>
      <c r="C8" s="5"/>
      <c r="D8" s="5"/>
      <c r="E8" s="5"/>
      <c r="F8" s="1" t="s">
        <v>170</v>
      </c>
      <c r="G8" s="1" t="s">
        <v>171</v>
      </c>
      <c r="H8" s="1" t="s">
        <v>172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Lista spesa</vt:lpstr>
      <vt:lpstr>Riepilogo</vt:lpstr>
      <vt:lpstr>Schema tecnico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michele zaccari</cp:lastModifiedBy>
  <dcterms:modified xsi:type="dcterms:W3CDTF">2026-05-12T04:40:16Z</dcterms:modified>
</cp:coreProperties>
</file>